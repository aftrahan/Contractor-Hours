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Excel files\Contractor hours\"/>
    </mc:Choice>
  </mc:AlternateContent>
  <xr:revisionPtr revIDLastSave="0" documentId="13_ncr:1_{D38141B6-E7B9-4869-AF9C-492DA36113EB}" xr6:coauthVersionLast="47" xr6:coauthVersionMax="47" xr10:uidLastSave="{00000000-0000-0000-0000-000000000000}"/>
  <bookViews>
    <workbookView xWindow="-120" yWindow="-120" windowWidth="24240" windowHeight="13140" tabRatio="680" xr2:uid="{00000000-000D-0000-FFFF-FFFF00000000}"/>
  </bookViews>
  <sheets>
    <sheet name="HOUR TRACKING" sheetId="6" r:id="rId1"/>
    <sheet name="Contractors" sheetId="1" r:id="rId2"/>
    <sheet name="Employees" sheetId="3" r:id="rId3"/>
    <sheet name="Hours" sheetId="4" r:id="rId4"/>
    <sheet name="Details" sheetId="5" r:id="rId5"/>
  </sheets>
  <functionGroups builtInGroupCount="19"/>
  <definedNames>
    <definedName name="emp_lookup">Emp_Status[[ID]:[status]]</definedName>
    <definedName name="PP_Start">'HOUR TRACKING'!$E$15</definedName>
    <definedName name="wo_lookup">WO[#All]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4" l="1"/>
  <c r="E72" i="4" s="1"/>
  <c r="I72" i="4"/>
  <c r="D69" i="4"/>
  <c r="E69" i="4" s="1"/>
  <c r="D70" i="4"/>
  <c r="E70" i="4" s="1"/>
  <c r="D71" i="4"/>
  <c r="E71" i="4" s="1"/>
  <c r="I69" i="4"/>
  <c r="I70" i="4"/>
  <c r="I71" i="4"/>
  <c r="M70" i="4"/>
  <c r="N71" i="4"/>
  <c r="K71" i="4"/>
  <c r="L70" i="4"/>
  <c r="M71" i="4"/>
  <c r="K70" i="4"/>
  <c r="L71" i="4"/>
  <c r="N70" i="4"/>
  <c r="L69" i="4"/>
  <c r="L72" i="4"/>
  <c r="M72" i="4"/>
  <c r="N72" i="4"/>
  <c r="K72" i="4"/>
  <c r="N69" i="4"/>
  <c r="M69" i="4"/>
  <c r="K69" i="4"/>
  <c r="D220" i="4" l="1"/>
  <c r="E220" i="4" s="1"/>
  <c r="I220" i="4"/>
  <c r="D219" i="4"/>
  <c r="E219" i="4" s="1"/>
  <c r="I219" i="4"/>
  <c r="D218" i="4"/>
  <c r="E218" i="4" s="1"/>
  <c r="I218" i="4"/>
  <c r="D217" i="4"/>
  <c r="E217" i="4" s="1"/>
  <c r="I217" i="4"/>
  <c r="D216" i="4"/>
  <c r="E216" i="4" s="1"/>
  <c r="I216" i="4"/>
  <c r="D215" i="4"/>
  <c r="E215" i="4" s="1"/>
  <c r="I215" i="4"/>
  <c r="D214" i="4"/>
  <c r="E214" i="4" s="1"/>
  <c r="I214" i="4"/>
  <c r="D213" i="4"/>
  <c r="E213" i="4" s="1"/>
  <c r="I213" i="4"/>
  <c r="D212" i="4"/>
  <c r="E212" i="4" s="1"/>
  <c r="I212" i="4"/>
  <c r="D211" i="4"/>
  <c r="E211" i="4" s="1"/>
  <c r="I211" i="4"/>
  <c r="D210" i="4"/>
  <c r="E210" i="4" s="1"/>
  <c r="I210" i="4"/>
  <c r="D209" i="4"/>
  <c r="E209" i="4" s="1"/>
  <c r="I209" i="4"/>
  <c r="D208" i="4"/>
  <c r="E208" i="4" s="1"/>
  <c r="I208" i="4"/>
  <c r="D207" i="4"/>
  <c r="E207" i="4" s="1"/>
  <c r="I207" i="4"/>
  <c r="D206" i="4"/>
  <c r="E206" i="4" s="1"/>
  <c r="I206" i="4"/>
  <c r="D205" i="4"/>
  <c r="E205" i="4" s="1"/>
  <c r="I205" i="4"/>
  <c r="D204" i="4"/>
  <c r="E204" i="4" s="1"/>
  <c r="I204" i="4"/>
  <c r="D203" i="4"/>
  <c r="E203" i="4" s="1"/>
  <c r="I203" i="4"/>
  <c r="D202" i="4"/>
  <c r="E202" i="4" s="1"/>
  <c r="I202" i="4"/>
  <c r="D201" i="4"/>
  <c r="E201" i="4" s="1"/>
  <c r="I201" i="4"/>
  <c r="D200" i="4"/>
  <c r="E200" i="4" s="1"/>
  <c r="I200" i="4"/>
  <c r="D199" i="4"/>
  <c r="E199" i="4" s="1"/>
  <c r="I199" i="4"/>
  <c r="D198" i="4"/>
  <c r="E198" i="4" s="1"/>
  <c r="I198" i="4"/>
  <c r="D197" i="4"/>
  <c r="E197" i="4" s="1"/>
  <c r="I197" i="4"/>
  <c r="D196" i="4"/>
  <c r="E196" i="4" s="1"/>
  <c r="I196" i="4"/>
  <c r="D195" i="4"/>
  <c r="E195" i="4" s="1"/>
  <c r="I195" i="4"/>
  <c r="D194" i="4"/>
  <c r="E194" i="4" s="1"/>
  <c r="I194" i="4"/>
  <c r="D193" i="4"/>
  <c r="E193" i="4" s="1"/>
  <c r="I193" i="4"/>
  <c r="D192" i="4"/>
  <c r="E192" i="4" s="1"/>
  <c r="I192" i="4"/>
  <c r="D191" i="4"/>
  <c r="E191" i="4" s="1"/>
  <c r="I191" i="4"/>
  <c r="D190" i="4"/>
  <c r="E190" i="4" s="1"/>
  <c r="I190" i="4"/>
  <c r="D189" i="4"/>
  <c r="E189" i="4" s="1"/>
  <c r="I189" i="4"/>
  <c r="D188" i="4"/>
  <c r="E188" i="4" s="1"/>
  <c r="I188" i="4"/>
  <c r="D187" i="4"/>
  <c r="E187" i="4" s="1"/>
  <c r="I187" i="4"/>
  <c r="D186" i="4"/>
  <c r="E186" i="4" s="1"/>
  <c r="I186" i="4"/>
  <c r="D185" i="4"/>
  <c r="E185" i="4" s="1"/>
  <c r="I185" i="4"/>
  <c r="D184" i="4"/>
  <c r="E184" i="4" s="1"/>
  <c r="I184" i="4"/>
  <c r="D183" i="4"/>
  <c r="E183" i="4" s="1"/>
  <c r="I183" i="4"/>
  <c r="D182" i="4"/>
  <c r="E182" i="4" s="1"/>
  <c r="I182" i="4"/>
  <c r="D181" i="4"/>
  <c r="E181" i="4" s="1"/>
  <c r="I181" i="4"/>
  <c r="D180" i="4"/>
  <c r="E180" i="4" s="1"/>
  <c r="I180" i="4"/>
  <c r="D179" i="4"/>
  <c r="E179" i="4" s="1"/>
  <c r="I179" i="4"/>
  <c r="D178" i="4"/>
  <c r="E178" i="4" s="1"/>
  <c r="I178" i="4"/>
  <c r="D177" i="4"/>
  <c r="E177" i="4" s="1"/>
  <c r="I177" i="4"/>
  <c r="D176" i="4"/>
  <c r="E176" i="4" s="1"/>
  <c r="I176" i="4"/>
  <c r="D175" i="4"/>
  <c r="E175" i="4" s="1"/>
  <c r="I175" i="4"/>
  <c r="D174" i="4"/>
  <c r="E174" i="4" s="1"/>
  <c r="I174" i="4"/>
  <c r="D173" i="4"/>
  <c r="E173" i="4" s="1"/>
  <c r="I173" i="4"/>
  <c r="D172" i="4"/>
  <c r="E172" i="4" s="1"/>
  <c r="I172" i="4"/>
  <c r="D171" i="4"/>
  <c r="E171" i="4" s="1"/>
  <c r="I171" i="4"/>
  <c r="D170" i="4"/>
  <c r="E170" i="4" s="1"/>
  <c r="I170" i="4"/>
  <c r="D169" i="4"/>
  <c r="E169" i="4" s="1"/>
  <c r="I169" i="4"/>
  <c r="D168" i="4"/>
  <c r="E168" i="4" s="1"/>
  <c r="I168" i="4"/>
  <c r="D167" i="4"/>
  <c r="E167" i="4" s="1"/>
  <c r="I167" i="4"/>
  <c r="D166" i="4"/>
  <c r="E166" i="4" s="1"/>
  <c r="I166" i="4"/>
  <c r="D165" i="4"/>
  <c r="E165" i="4" s="1"/>
  <c r="I165" i="4"/>
  <c r="D164" i="4"/>
  <c r="E164" i="4" s="1"/>
  <c r="I164" i="4"/>
  <c r="D163" i="4"/>
  <c r="E163" i="4" s="1"/>
  <c r="I163" i="4"/>
  <c r="D162" i="4"/>
  <c r="E162" i="4" s="1"/>
  <c r="I162" i="4"/>
  <c r="D161" i="4"/>
  <c r="E161" i="4" s="1"/>
  <c r="I161" i="4"/>
  <c r="D160" i="4"/>
  <c r="E160" i="4" s="1"/>
  <c r="I160" i="4"/>
  <c r="D159" i="4"/>
  <c r="E159" i="4" s="1"/>
  <c r="I159" i="4"/>
  <c r="D158" i="4"/>
  <c r="E158" i="4" s="1"/>
  <c r="I158" i="4"/>
  <c r="D157" i="4"/>
  <c r="E157" i="4" s="1"/>
  <c r="I157" i="4"/>
  <c r="D156" i="4"/>
  <c r="E156" i="4" s="1"/>
  <c r="I156" i="4"/>
  <c r="D155" i="4"/>
  <c r="E155" i="4" s="1"/>
  <c r="I155" i="4"/>
  <c r="D154" i="4"/>
  <c r="E154" i="4" s="1"/>
  <c r="I154" i="4"/>
  <c r="D153" i="4"/>
  <c r="E153" i="4" s="1"/>
  <c r="I153" i="4"/>
  <c r="D152" i="4"/>
  <c r="E152" i="4" s="1"/>
  <c r="I152" i="4"/>
  <c r="D151" i="4"/>
  <c r="E151" i="4" s="1"/>
  <c r="I151" i="4"/>
  <c r="D150" i="4"/>
  <c r="E150" i="4" s="1"/>
  <c r="I150" i="4"/>
  <c r="D149" i="4"/>
  <c r="E149" i="4" s="1"/>
  <c r="I149" i="4"/>
  <c r="D148" i="4"/>
  <c r="E148" i="4" s="1"/>
  <c r="I148" i="4"/>
  <c r="D147" i="4"/>
  <c r="E147" i="4" s="1"/>
  <c r="I147" i="4"/>
  <c r="D146" i="4"/>
  <c r="E146" i="4" s="1"/>
  <c r="I146" i="4"/>
  <c r="D145" i="4"/>
  <c r="E145" i="4" s="1"/>
  <c r="I145" i="4"/>
  <c r="D144" i="4"/>
  <c r="E144" i="4" s="1"/>
  <c r="I144" i="4"/>
  <c r="D143" i="4"/>
  <c r="E143" i="4" s="1"/>
  <c r="I143" i="4"/>
  <c r="D142" i="4"/>
  <c r="E142" i="4" s="1"/>
  <c r="I142" i="4"/>
  <c r="D141" i="4"/>
  <c r="E141" i="4" s="1"/>
  <c r="I141" i="4"/>
  <c r="D140" i="4"/>
  <c r="E140" i="4" s="1"/>
  <c r="I140" i="4"/>
  <c r="D139" i="4"/>
  <c r="E139" i="4" s="1"/>
  <c r="I139" i="4"/>
  <c r="D138" i="4"/>
  <c r="E138" i="4" s="1"/>
  <c r="I138" i="4"/>
  <c r="D137" i="4"/>
  <c r="E137" i="4" s="1"/>
  <c r="I137" i="4"/>
  <c r="D136" i="4"/>
  <c r="E136" i="4" s="1"/>
  <c r="I136" i="4"/>
  <c r="D135" i="4"/>
  <c r="E135" i="4" s="1"/>
  <c r="I135" i="4"/>
  <c r="D134" i="4"/>
  <c r="E134" i="4" s="1"/>
  <c r="I134" i="4"/>
  <c r="D133" i="4"/>
  <c r="E133" i="4" s="1"/>
  <c r="I133" i="4"/>
  <c r="D132" i="4"/>
  <c r="E132" i="4" s="1"/>
  <c r="I132" i="4"/>
  <c r="D131" i="4"/>
  <c r="E131" i="4" s="1"/>
  <c r="I131" i="4"/>
  <c r="D130" i="4"/>
  <c r="E130" i="4" s="1"/>
  <c r="I130" i="4"/>
  <c r="D129" i="4"/>
  <c r="E129" i="4" s="1"/>
  <c r="I129" i="4"/>
  <c r="D128" i="4"/>
  <c r="E128" i="4" s="1"/>
  <c r="I128" i="4"/>
  <c r="D127" i="4"/>
  <c r="E127" i="4" s="1"/>
  <c r="I127" i="4"/>
  <c r="D126" i="4"/>
  <c r="E126" i="4" s="1"/>
  <c r="I126" i="4"/>
  <c r="D125" i="4"/>
  <c r="E125" i="4" s="1"/>
  <c r="I125" i="4"/>
  <c r="D124" i="4"/>
  <c r="E124" i="4" s="1"/>
  <c r="I124" i="4"/>
  <c r="D123" i="4"/>
  <c r="E123" i="4" s="1"/>
  <c r="I123" i="4"/>
  <c r="D122" i="4"/>
  <c r="E122" i="4" s="1"/>
  <c r="I122" i="4"/>
  <c r="D121" i="4"/>
  <c r="E121" i="4" s="1"/>
  <c r="I121" i="4"/>
  <c r="D120" i="4"/>
  <c r="E120" i="4" s="1"/>
  <c r="I120" i="4"/>
  <c r="D119" i="4"/>
  <c r="E119" i="4" s="1"/>
  <c r="I119" i="4"/>
  <c r="D118" i="4"/>
  <c r="E118" i="4" s="1"/>
  <c r="I118" i="4"/>
  <c r="D117" i="4"/>
  <c r="E117" i="4" s="1"/>
  <c r="I117" i="4"/>
  <c r="D116" i="4"/>
  <c r="E116" i="4" s="1"/>
  <c r="I116" i="4"/>
  <c r="D115" i="4"/>
  <c r="E115" i="4" s="1"/>
  <c r="I115" i="4"/>
  <c r="D114" i="4"/>
  <c r="E114" i="4" s="1"/>
  <c r="I114" i="4"/>
  <c r="D113" i="4"/>
  <c r="E113" i="4" s="1"/>
  <c r="I113" i="4"/>
  <c r="D112" i="4"/>
  <c r="E112" i="4" s="1"/>
  <c r="I112" i="4"/>
  <c r="D111" i="4"/>
  <c r="E111" i="4" s="1"/>
  <c r="I111" i="4"/>
  <c r="D110" i="4"/>
  <c r="E110" i="4" s="1"/>
  <c r="I110" i="4"/>
  <c r="D109" i="4"/>
  <c r="E109" i="4" s="1"/>
  <c r="I109" i="4"/>
  <c r="D108" i="4"/>
  <c r="E108" i="4" s="1"/>
  <c r="I108" i="4"/>
  <c r="D107" i="4"/>
  <c r="E107" i="4" s="1"/>
  <c r="I107" i="4"/>
  <c r="D106" i="4"/>
  <c r="E106" i="4" s="1"/>
  <c r="I106" i="4"/>
  <c r="D105" i="4"/>
  <c r="E105" i="4" s="1"/>
  <c r="I105" i="4"/>
  <c r="D104" i="4"/>
  <c r="E104" i="4" s="1"/>
  <c r="I104" i="4"/>
  <c r="D103" i="4"/>
  <c r="E103" i="4" s="1"/>
  <c r="I103" i="4"/>
  <c r="D102" i="4"/>
  <c r="E102" i="4" s="1"/>
  <c r="I102" i="4"/>
  <c r="D101" i="4"/>
  <c r="E101" i="4" s="1"/>
  <c r="I101" i="4"/>
  <c r="D100" i="4"/>
  <c r="E100" i="4" s="1"/>
  <c r="I100" i="4"/>
  <c r="D99" i="4"/>
  <c r="E99" i="4" s="1"/>
  <c r="I99" i="4"/>
  <c r="D98" i="4"/>
  <c r="E98" i="4" s="1"/>
  <c r="I98" i="4"/>
  <c r="D97" i="4"/>
  <c r="E97" i="4" s="1"/>
  <c r="I97" i="4"/>
  <c r="D96" i="4"/>
  <c r="E96" i="4" s="1"/>
  <c r="I96" i="4"/>
  <c r="D95" i="4"/>
  <c r="E95" i="4" s="1"/>
  <c r="I95" i="4"/>
  <c r="D94" i="4"/>
  <c r="E94" i="4" s="1"/>
  <c r="I94" i="4"/>
  <c r="D93" i="4"/>
  <c r="E93" i="4" s="1"/>
  <c r="I93" i="4"/>
  <c r="D92" i="4"/>
  <c r="E92" i="4" s="1"/>
  <c r="I92" i="4"/>
  <c r="D91" i="4"/>
  <c r="E91" i="4" s="1"/>
  <c r="I91" i="4"/>
  <c r="D90" i="4"/>
  <c r="E90" i="4" s="1"/>
  <c r="I90" i="4"/>
  <c r="D89" i="4"/>
  <c r="E89" i="4" s="1"/>
  <c r="I89" i="4"/>
  <c r="D88" i="4"/>
  <c r="E88" i="4" s="1"/>
  <c r="I88" i="4"/>
  <c r="D87" i="4"/>
  <c r="E87" i="4" s="1"/>
  <c r="I87" i="4"/>
  <c r="D86" i="4"/>
  <c r="E86" i="4" s="1"/>
  <c r="I86" i="4"/>
  <c r="D85" i="4"/>
  <c r="E85" i="4" s="1"/>
  <c r="I85" i="4"/>
  <c r="D84" i="4"/>
  <c r="E84" i="4" s="1"/>
  <c r="I84" i="4"/>
  <c r="D83" i="4"/>
  <c r="E83" i="4" s="1"/>
  <c r="I83" i="4"/>
  <c r="D82" i="4"/>
  <c r="E82" i="4" s="1"/>
  <c r="I82" i="4"/>
  <c r="D20" i="4"/>
  <c r="E20" i="4" s="1"/>
  <c r="D21" i="4"/>
  <c r="E21" i="4" s="1"/>
  <c r="D22" i="4"/>
  <c r="E22" i="4" s="1"/>
  <c r="D23" i="4"/>
  <c r="E23" i="4" s="1"/>
  <c r="D24" i="4"/>
  <c r="E24" i="4" s="1"/>
  <c r="D25" i="4"/>
  <c r="E25" i="4" s="1"/>
  <c r="D26" i="4"/>
  <c r="E26" i="4" s="1"/>
  <c r="D27" i="4"/>
  <c r="E27" i="4" s="1"/>
  <c r="I20" i="4"/>
  <c r="I21" i="4"/>
  <c r="I22" i="4"/>
  <c r="I23" i="4"/>
  <c r="I24" i="4"/>
  <c r="I25" i="4"/>
  <c r="I26" i="4"/>
  <c r="I27" i="4"/>
  <c r="D81" i="4"/>
  <c r="E81" i="4" s="1"/>
  <c r="I81" i="4"/>
  <c r="D80" i="4"/>
  <c r="E80" i="4" s="1"/>
  <c r="I80" i="4"/>
  <c r="D79" i="4"/>
  <c r="E79" i="4" s="1"/>
  <c r="I79" i="4"/>
  <c r="D78" i="4"/>
  <c r="E78" i="4" s="1"/>
  <c r="I78" i="4"/>
  <c r="D77" i="4"/>
  <c r="E77" i="4" s="1"/>
  <c r="I77" i="4"/>
  <c r="D76" i="4"/>
  <c r="E76" i="4" s="1"/>
  <c r="I76" i="4"/>
  <c r="D75" i="4"/>
  <c r="E75" i="4" s="1"/>
  <c r="I75" i="4"/>
  <c r="D74" i="4"/>
  <c r="E74" i="4" s="1"/>
  <c r="I74" i="4"/>
  <c r="D73" i="4"/>
  <c r="E73" i="4" s="1"/>
  <c r="I73" i="4"/>
  <c r="D68" i="4"/>
  <c r="E68" i="4" s="1"/>
  <c r="I68" i="4"/>
  <c r="D67" i="4"/>
  <c r="E67" i="4" s="1"/>
  <c r="I67" i="4"/>
  <c r="D66" i="4"/>
  <c r="E66" i="4" s="1"/>
  <c r="I66" i="4"/>
  <c r="D65" i="4"/>
  <c r="E65" i="4" s="1"/>
  <c r="I65" i="4"/>
  <c r="D64" i="4"/>
  <c r="E64" i="4" s="1"/>
  <c r="I64" i="4"/>
  <c r="D63" i="4"/>
  <c r="E63" i="4" s="1"/>
  <c r="I63" i="4"/>
  <c r="D56" i="4"/>
  <c r="E56" i="4" s="1"/>
  <c r="D62" i="4"/>
  <c r="E62" i="4" s="1"/>
  <c r="I62" i="4"/>
  <c r="D61" i="4"/>
  <c r="E61" i="4" s="1"/>
  <c r="I61" i="4"/>
  <c r="D60" i="4"/>
  <c r="E60" i="4" s="1"/>
  <c r="I60" i="4"/>
  <c r="D59" i="4"/>
  <c r="E59" i="4" s="1"/>
  <c r="I59" i="4"/>
  <c r="D58" i="4"/>
  <c r="E58" i="4" s="1"/>
  <c r="I58" i="4"/>
  <c r="D57" i="4"/>
  <c r="E57" i="4" s="1"/>
  <c r="I57" i="4"/>
  <c r="I56" i="4"/>
  <c r="D55" i="4"/>
  <c r="E55" i="4" s="1"/>
  <c r="I55" i="4"/>
  <c r="D54" i="4"/>
  <c r="E54" i="4" s="1"/>
  <c r="I54" i="4"/>
  <c r="D53" i="4"/>
  <c r="E53" i="4" s="1"/>
  <c r="I53" i="4"/>
  <c r="D52" i="4"/>
  <c r="E52" i="4" s="1"/>
  <c r="I52" i="4"/>
  <c r="D51" i="4"/>
  <c r="E51" i="4" s="1"/>
  <c r="I51" i="4"/>
  <c r="D50" i="4"/>
  <c r="E50" i="4" s="1"/>
  <c r="I50" i="4"/>
  <c r="D49" i="4"/>
  <c r="E49" i="4" s="1"/>
  <c r="I49" i="4"/>
  <c r="D48" i="4"/>
  <c r="E48" i="4" s="1"/>
  <c r="I48" i="4"/>
  <c r="D47" i="4"/>
  <c r="E47" i="4" s="1"/>
  <c r="I47" i="4"/>
  <c r="D46" i="4"/>
  <c r="E46" i="4" s="1"/>
  <c r="I46" i="4"/>
  <c r="D39" i="4"/>
  <c r="E39" i="4" s="1"/>
  <c r="D40" i="4"/>
  <c r="E40" i="4" s="1"/>
  <c r="D41" i="4"/>
  <c r="E41" i="4" s="1"/>
  <c r="D42" i="4"/>
  <c r="E42" i="4" s="1"/>
  <c r="D43" i="4"/>
  <c r="E43" i="4" s="1"/>
  <c r="D44" i="4"/>
  <c r="E44" i="4" s="1"/>
  <c r="D45" i="4"/>
  <c r="E45" i="4" s="1"/>
  <c r="I39" i="4"/>
  <c r="I40" i="4"/>
  <c r="I41" i="4"/>
  <c r="I42" i="4"/>
  <c r="I43" i="4"/>
  <c r="I44" i="4"/>
  <c r="I45" i="4"/>
  <c r="D38" i="4"/>
  <c r="E38" i="4" s="1"/>
  <c r="I38" i="4"/>
  <c r="D37" i="4"/>
  <c r="E37" i="4" s="1"/>
  <c r="I37" i="4"/>
  <c r="D36" i="4"/>
  <c r="E36" i="4" s="1"/>
  <c r="I36" i="4"/>
  <c r="D35" i="4"/>
  <c r="E35" i="4" s="1"/>
  <c r="I35" i="4"/>
  <c r="D34" i="4"/>
  <c r="E34" i="4" s="1"/>
  <c r="I34" i="4"/>
  <c r="D33" i="4"/>
  <c r="E33" i="4" s="1"/>
  <c r="I33" i="4"/>
  <c r="D32" i="4"/>
  <c r="E32" i="4" s="1"/>
  <c r="I32" i="4"/>
  <c r="D31" i="4"/>
  <c r="E31" i="4" s="1"/>
  <c r="I31" i="4"/>
  <c r="D30" i="4"/>
  <c r="E30" i="4" s="1"/>
  <c r="I30" i="4"/>
  <c r="D29" i="4"/>
  <c r="E29" i="4" s="1"/>
  <c r="I29" i="4"/>
  <c r="D28" i="4"/>
  <c r="E28" i="4" s="1"/>
  <c r="I28" i="4"/>
  <c r="D19" i="4"/>
  <c r="E19" i="4" s="1"/>
  <c r="I19" i="4"/>
  <c r="D18" i="4"/>
  <c r="E18" i="4" s="1"/>
  <c r="I18" i="4"/>
  <c r="D17" i="4"/>
  <c r="E17" i="4" s="1"/>
  <c r="I17" i="4"/>
  <c r="D16" i="4"/>
  <c r="E16" i="4" s="1"/>
  <c r="I16" i="4"/>
  <c r="D15" i="4"/>
  <c r="E15" i="4" s="1"/>
  <c r="I15" i="4"/>
  <c r="D14" i="4"/>
  <c r="E14" i="4" s="1"/>
  <c r="I14" i="4"/>
  <c r="D13" i="4"/>
  <c r="E13" i="4" s="1"/>
  <c r="I13" i="4"/>
  <c r="D12" i="4"/>
  <c r="E12" i="4" s="1"/>
  <c r="I12" i="4"/>
  <c r="D11" i="4"/>
  <c r="E11" i="4" s="1"/>
  <c r="I11" i="4"/>
  <c r="D10" i="4"/>
  <c r="E10" i="4" s="1"/>
  <c r="I10" i="4"/>
  <c r="D9" i="4"/>
  <c r="E9" i="4" s="1"/>
  <c r="I9" i="4"/>
  <c r="D8" i="4"/>
  <c r="E8" i="4" s="1"/>
  <c r="I8" i="4"/>
  <c r="D7" i="4"/>
  <c r="E7" i="4" s="1"/>
  <c r="I7" i="4"/>
  <c r="D6" i="4"/>
  <c r="E6" i="4" s="1"/>
  <c r="I6" i="4"/>
  <c r="D5" i="4"/>
  <c r="E5" i="4" s="1"/>
  <c r="I5" i="4"/>
  <c r="D4" i="4"/>
  <c r="E4" i="4" s="1"/>
  <c r="I4" i="4"/>
  <c r="D3" i="4"/>
  <c r="E3" i="4" s="1"/>
  <c r="I3" i="4"/>
  <c r="M209" i="4"/>
  <c r="L209" i="4"/>
  <c r="M191" i="4"/>
  <c r="L191" i="4"/>
  <c r="M169" i="4"/>
  <c r="N169" i="4"/>
  <c r="K169" i="4"/>
  <c r="L169" i="4"/>
  <c r="L168" i="4"/>
  <c r="M168" i="4"/>
  <c r="N168" i="4"/>
  <c r="K168" i="4"/>
  <c r="K20" i="4"/>
  <c r="K24" i="4"/>
  <c r="L20" i="4"/>
  <c r="L24" i="4"/>
  <c r="M20" i="4"/>
  <c r="M24" i="4"/>
  <c r="N20" i="4"/>
  <c r="N24" i="4"/>
  <c r="K21" i="4"/>
  <c r="K25" i="4"/>
  <c r="L21" i="4"/>
  <c r="L25" i="4"/>
  <c r="M21" i="4"/>
  <c r="M25" i="4"/>
  <c r="N21" i="4"/>
  <c r="N25" i="4"/>
  <c r="K23" i="4"/>
  <c r="K27" i="4"/>
  <c r="L23" i="4"/>
  <c r="L27" i="4"/>
  <c r="M23" i="4"/>
  <c r="M27" i="4"/>
  <c r="N23" i="4"/>
  <c r="N27" i="4"/>
  <c r="K22" i="4"/>
  <c r="K26" i="4"/>
  <c r="L22" i="4"/>
  <c r="L26" i="4"/>
  <c r="M22" i="4"/>
  <c r="M26" i="4"/>
  <c r="N22" i="4"/>
  <c r="N26" i="4"/>
  <c r="M66" i="4"/>
  <c r="N66" i="4"/>
  <c r="K66" i="4"/>
  <c r="L66" i="4"/>
  <c r="M40" i="4"/>
  <c r="M44" i="4"/>
  <c r="K40" i="4"/>
  <c r="M43" i="4"/>
  <c r="N44" i="4"/>
  <c r="L40" i="4"/>
  <c r="L44" i="4"/>
  <c r="K44" i="4"/>
  <c r="M39" i="4"/>
  <c r="N40" i="4"/>
  <c r="L39" i="4"/>
  <c r="L43" i="4"/>
  <c r="M30" i="4"/>
  <c r="L30" i="4"/>
  <c r="N10" i="4"/>
  <c r="E2" i="3" l="1"/>
  <c r="E2" i="1"/>
  <c r="I2" i="3"/>
  <c r="H2" i="3"/>
  <c r="I2" i="1"/>
  <c r="H2" i="1"/>
  <c r="N220" i="4"/>
  <c r="K220" i="4"/>
  <c r="L220" i="4"/>
  <c r="M220" i="4"/>
  <c r="L219" i="4"/>
  <c r="M219" i="4"/>
  <c r="N219" i="4"/>
  <c r="K219" i="4"/>
  <c r="L218" i="4"/>
  <c r="M218" i="4"/>
  <c r="N218" i="4"/>
  <c r="K218" i="4"/>
  <c r="L217" i="4"/>
  <c r="M217" i="4"/>
  <c r="N217" i="4"/>
  <c r="K217" i="4"/>
  <c r="N216" i="4"/>
  <c r="K216" i="4"/>
  <c r="L216" i="4"/>
  <c r="M216" i="4"/>
  <c r="L215" i="4"/>
  <c r="K215" i="4"/>
  <c r="M215" i="4"/>
  <c r="N215" i="4"/>
  <c r="L214" i="4"/>
  <c r="M214" i="4"/>
  <c r="N214" i="4"/>
  <c r="K214" i="4"/>
  <c r="L213" i="4"/>
  <c r="M213" i="4"/>
  <c r="N213" i="4"/>
  <c r="K213" i="4"/>
  <c r="L212" i="4"/>
  <c r="M212" i="4"/>
  <c r="N212" i="4"/>
  <c r="K212" i="4"/>
  <c r="N211" i="4"/>
  <c r="K211" i="4"/>
  <c r="L211" i="4"/>
  <c r="M211" i="4"/>
  <c r="L210" i="4"/>
  <c r="M210" i="4"/>
  <c r="N210" i="4"/>
  <c r="K210" i="4"/>
  <c r="K209" i="4"/>
  <c r="N209" i="4"/>
  <c r="L208" i="4"/>
  <c r="K208" i="4"/>
  <c r="M208" i="4"/>
  <c r="N208" i="4"/>
  <c r="L207" i="4"/>
  <c r="M207" i="4"/>
  <c r="N207" i="4"/>
  <c r="K207" i="4"/>
  <c r="L206" i="4"/>
  <c r="M206" i="4"/>
  <c r="N206" i="4"/>
  <c r="K206" i="4"/>
  <c r="L205" i="4"/>
  <c r="M205" i="4"/>
  <c r="N205" i="4"/>
  <c r="K205" i="4"/>
  <c r="L204" i="4"/>
  <c r="M204" i="4"/>
  <c r="N204" i="4"/>
  <c r="K204" i="4"/>
  <c r="L203" i="4"/>
  <c r="M203" i="4"/>
  <c r="N203" i="4"/>
  <c r="K203" i="4"/>
  <c r="L202" i="4"/>
  <c r="K202" i="4"/>
  <c r="M202" i="4"/>
  <c r="N202" i="4"/>
  <c r="L201" i="4"/>
  <c r="M201" i="4"/>
  <c r="N201" i="4"/>
  <c r="K201" i="4"/>
  <c r="N200" i="4"/>
  <c r="K200" i="4"/>
  <c r="L200" i="4"/>
  <c r="M200" i="4"/>
  <c r="L199" i="4"/>
  <c r="M199" i="4"/>
  <c r="N199" i="4"/>
  <c r="K199" i="4"/>
  <c r="L198" i="4"/>
  <c r="M198" i="4"/>
  <c r="N198" i="4"/>
  <c r="K198" i="4"/>
  <c r="N197" i="4"/>
  <c r="K197" i="4"/>
  <c r="L197" i="4"/>
  <c r="M197" i="4"/>
  <c r="L196" i="4"/>
  <c r="M196" i="4"/>
  <c r="N196" i="4"/>
  <c r="K196" i="4"/>
  <c r="L195" i="4"/>
  <c r="K195" i="4"/>
  <c r="M195" i="4"/>
  <c r="N195" i="4"/>
  <c r="L194" i="4"/>
  <c r="M194" i="4"/>
  <c r="N194" i="4"/>
  <c r="K194" i="4"/>
  <c r="L193" i="4"/>
  <c r="M193" i="4"/>
  <c r="K193" i="4"/>
  <c r="N193" i="4"/>
  <c r="L192" i="4"/>
  <c r="M192" i="4"/>
  <c r="N192" i="4"/>
  <c r="K192" i="4"/>
  <c r="K191" i="4"/>
  <c r="N191" i="4"/>
  <c r="L190" i="4"/>
  <c r="M190" i="4"/>
  <c r="N190" i="4"/>
  <c r="K190" i="4"/>
  <c r="L189" i="4"/>
  <c r="M189" i="4"/>
  <c r="N189" i="4"/>
  <c r="K189" i="4"/>
  <c r="L188" i="4"/>
  <c r="M188" i="4"/>
  <c r="N188" i="4"/>
  <c r="K188" i="4"/>
  <c r="L187" i="4"/>
  <c r="M187" i="4"/>
  <c r="N187" i="4"/>
  <c r="K187" i="4"/>
  <c r="L186" i="4"/>
  <c r="M186" i="4"/>
  <c r="N186" i="4"/>
  <c r="K186" i="4"/>
  <c r="L185" i="4"/>
  <c r="M185" i="4"/>
  <c r="K185" i="4"/>
  <c r="N185" i="4"/>
  <c r="L184" i="4"/>
  <c r="M184" i="4"/>
  <c r="N184" i="4"/>
  <c r="K184" i="4"/>
  <c r="L183" i="4"/>
  <c r="M183" i="4"/>
  <c r="N183" i="4"/>
  <c r="K183" i="4"/>
  <c r="M182" i="4"/>
  <c r="N182" i="4"/>
  <c r="K182" i="4"/>
  <c r="L182" i="4"/>
  <c r="L181" i="4"/>
  <c r="M181" i="4"/>
  <c r="N181" i="4"/>
  <c r="K181" i="4"/>
  <c r="L180" i="4"/>
  <c r="M180" i="4"/>
  <c r="K180" i="4"/>
  <c r="N180" i="4"/>
  <c r="L179" i="4"/>
  <c r="M179" i="4"/>
  <c r="N179" i="4"/>
  <c r="K179" i="4"/>
  <c r="L178" i="4"/>
  <c r="M178" i="4"/>
  <c r="N178" i="4"/>
  <c r="K178" i="4"/>
  <c r="L177" i="4"/>
  <c r="M177" i="4"/>
  <c r="N177" i="4"/>
  <c r="K177" i="4"/>
  <c r="N176" i="4"/>
  <c r="K176" i="4"/>
  <c r="L176" i="4"/>
  <c r="M176" i="4"/>
  <c r="L175" i="4"/>
  <c r="K175" i="4"/>
  <c r="M175" i="4"/>
  <c r="N175" i="4"/>
  <c r="L174" i="4"/>
  <c r="M174" i="4"/>
  <c r="N174" i="4"/>
  <c r="K174" i="4"/>
  <c r="L173" i="4"/>
  <c r="M173" i="4"/>
  <c r="N173" i="4"/>
  <c r="K173" i="4"/>
  <c r="L172" i="4"/>
  <c r="M172" i="4"/>
  <c r="N172" i="4"/>
  <c r="K172" i="4"/>
  <c r="L171" i="4"/>
  <c r="M171" i="4"/>
  <c r="N171" i="4"/>
  <c r="K171" i="4"/>
  <c r="N170" i="4"/>
  <c r="K170" i="4"/>
  <c r="L170" i="4"/>
  <c r="M170" i="4"/>
  <c r="L167" i="4"/>
  <c r="N167" i="4"/>
  <c r="M167" i="4"/>
  <c r="K167" i="4"/>
  <c r="L166" i="4"/>
  <c r="M166" i="4"/>
  <c r="N166" i="4"/>
  <c r="K166" i="4"/>
  <c r="L165" i="4"/>
  <c r="M165" i="4"/>
  <c r="N165" i="4"/>
  <c r="K165" i="4"/>
  <c r="L164" i="4"/>
  <c r="M164" i="4"/>
  <c r="N164" i="4"/>
  <c r="K164" i="4"/>
  <c r="N163" i="4"/>
  <c r="K163" i="4"/>
  <c r="L163" i="4"/>
  <c r="M163" i="4"/>
  <c r="L162" i="4"/>
  <c r="M162" i="4"/>
  <c r="N162" i="4"/>
  <c r="K162" i="4"/>
  <c r="L161" i="4"/>
  <c r="M161" i="4"/>
  <c r="N161" i="4"/>
  <c r="K161" i="4"/>
  <c r="L160" i="4"/>
  <c r="M160" i="4"/>
  <c r="N160" i="4"/>
  <c r="K160" i="4"/>
  <c r="L159" i="4"/>
  <c r="M159" i="4"/>
  <c r="N159" i="4"/>
  <c r="K159" i="4"/>
  <c r="L158" i="4"/>
  <c r="M158" i="4"/>
  <c r="N158" i="4"/>
  <c r="K158" i="4"/>
  <c r="L157" i="4"/>
  <c r="M157" i="4"/>
  <c r="N157" i="4"/>
  <c r="K157" i="4"/>
  <c r="L156" i="4"/>
  <c r="M156" i="4"/>
  <c r="N156" i="4"/>
  <c r="K156" i="4"/>
  <c r="L155" i="4"/>
  <c r="M155" i="4"/>
  <c r="N155" i="4"/>
  <c r="K155" i="4"/>
  <c r="L154" i="4"/>
  <c r="M154" i="4"/>
  <c r="N154" i="4"/>
  <c r="K154" i="4"/>
  <c r="L153" i="4"/>
  <c r="M153" i="4"/>
  <c r="N153" i="4"/>
  <c r="K153" i="4"/>
  <c r="L152" i="4"/>
  <c r="K152" i="4"/>
  <c r="M152" i="4"/>
  <c r="N152" i="4"/>
  <c r="L151" i="4"/>
  <c r="M151" i="4"/>
  <c r="N151" i="4"/>
  <c r="K151" i="4"/>
  <c r="L150" i="4"/>
  <c r="M150" i="4"/>
  <c r="N150" i="4"/>
  <c r="K150" i="4"/>
  <c r="L149" i="4"/>
  <c r="M149" i="4"/>
  <c r="N149" i="4"/>
  <c r="K149" i="4"/>
  <c r="L148" i="4"/>
  <c r="M148" i="4"/>
  <c r="N148" i="4"/>
  <c r="K148" i="4"/>
  <c r="L147" i="4"/>
  <c r="M147" i="4"/>
  <c r="N147" i="4"/>
  <c r="K147" i="4"/>
  <c r="L146" i="4"/>
  <c r="M146" i="4"/>
  <c r="N146" i="4"/>
  <c r="K146" i="4"/>
  <c r="L145" i="4"/>
  <c r="M145" i="4"/>
  <c r="N145" i="4"/>
  <c r="K145" i="4"/>
  <c r="L144" i="4"/>
  <c r="M144" i="4"/>
  <c r="N144" i="4"/>
  <c r="K144" i="4"/>
  <c r="L143" i="4"/>
  <c r="M143" i="4"/>
  <c r="N143" i="4"/>
  <c r="K143" i="4"/>
  <c r="N142" i="4"/>
  <c r="K142" i="4"/>
  <c r="L142" i="4"/>
  <c r="M142" i="4"/>
  <c r="N141" i="4"/>
  <c r="K141" i="4"/>
  <c r="L141" i="4"/>
  <c r="M141" i="4"/>
  <c r="L140" i="4"/>
  <c r="M140" i="4"/>
  <c r="N140" i="4"/>
  <c r="K140" i="4"/>
  <c r="L139" i="4"/>
  <c r="M139" i="4"/>
  <c r="N139" i="4"/>
  <c r="K139" i="4"/>
  <c r="L138" i="4"/>
  <c r="M138" i="4"/>
  <c r="N138" i="4"/>
  <c r="K138" i="4"/>
  <c r="L137" i="4"/>
  <c r="M137" i="4"/>
  <c r="N137" i="4"/>
  <c r="K137" i="4"/>
  <c r="L136" i="4"/>
  <c r="M136" i="4"/>
  <c r="N136" i="4"/>
  <c r="K136" i="4"/>
  <c r="L135" i="4"/>
  <c r="M135" i="4"/>
  <c r="N135" i="4"/>
  <c r="K135" i="4"/>
  <c r="L134" i="4"/>
  <c r="M134" i="4"/>
  <c r="N134" i="4"/>
  <c r="K134" i="4"/>
  <c r="L133" i="4"/>
  <c r="M133" i="4"/>
  <c r="N133" i="4"/>
  <c r="K133" i="4"/>
  <c r="L132" i="4"/>
  <c r="K132" i="4"/>
  <c r="N132" i="4"/>
  <c r="M132" i="4"/>
  <c r="L131" i="4"/>
  <c r="M131" i="4"/>
  <c r="K131" i="4"/>
  <c r="N131" i="4"/>
  <c r="L130" i="4"/>
  <c r="M130" i="4"/>
  <c r="N130" i="4"/>
  <c r="K130" i="4"/>
  <c r="N129" i="4"/>
  <c r="K129" i="4"/>
  <c r="L129" i="4"/>
  <c r="M129" i="4"/>
  <c r="L128" i="4"/>
  <c r="K128" i="4"/>
  <c r="M128" i="4"/>
  <c r="N128" i="4"/>
  <c r="L127" i="4"/>
  <c r="M127" i="4"/>
  <c r="N127" i="4"/>
  <c r="K127" i="4"/>
  <c r="L126" i="4"/>
  <c r="M126" i="4"/>
  <c r="N126" i="4"/>
  <c r="K126" i="4"/>
  <c r="L125" i="4"/>
  <c r="M125" i="4"/>
  <c r="N125" i="4"/>
  <c r="K125" i="4"/>
  <c r="L124" i="4"/>
  <c r="M124" i="4"/>
  <c r="N124" i="4"/>
  <c r="K124" i="4"/>
  <c r="L123" i="4"/>
  <c r="M123" i="4"/>
  <c r="N123" i="4"/>
  <c r="K123" i="4"/>
  <c r="N122" i="4"/>
  <c r="K122" i="4"/>
  <c r="L122" i="4"/>
  <c r="M122" i="4"/>
  <c r="L121" i="4"/>
  <c r="M121" i="4"/>
  <c r="N121" i="4"/>
  <c r="K121" i="4"/>
  <c r="L120" i="4"/>
  <c r="M120" i="4"/>
  <c r="N120" i="4"/>
  <c r="K120" i="4"/>
  <c r="L119" i="4"/>
  <c r="K119" i="4"/>
  <c r="M119" i="4"/>
  <c r="N119" i="4"/>
  <c r="L118" i="4"/>
  <c r="K118" i="4"/>
  <c r="M118" i="4"/>
  <c r="N118" i="4"/>
  <c r="L117" i="4"/>
  <c r="M117" i="4"/>
  <c r="N117" i="4"/>
  <c r="K117" i="4"/>
  <c r="L116" i="4"/>
  <c r="M116" i="4"/>
  <c r="N116" i="4"/>
  <c r="K116" i="4"/>
  <c r="L115" i="4"/>
  <c r="M115" i="4"/>
  <c r="N115" i="4"/>
  <c r="K115" i="4"/>
  <c r="L114" i="4"/>
  <c r="M114" i="4"/>
  <c r="N114" i="4"/>
  <c r="K114" i="4"/>
  <c r="L113" i="4"/>
  <c r="M113" i="4"/>
  <c r="K113" i="4"/>
  <c r="N113" i="4"/>
  <c r="L112" i="4"/>
  <c r="M112" i="4"/>
  <c r="N112" i="4"/>
  <c r="K112" i="4"/>
  <c r="L111" i="4"/>
  <c r="M111" i="4"/>
  <c r="N111" i="4"/>
  <c r="K111" i="4"/>
  <c r="L110" i="4"/>
  <c r="M110" i="4"/>
  <c r="K110" i="4"/>
  <c r="N110" i="4"/>
  <c r="L109" i="4"/>
  <c r="M109" i="4"/>
  <c r="N109" i="4"/>
  <c r="K109" i="4"/>
  <c r="M108" i="4"/>
  <c r="N108" i="4"/>
  <c r="L108" i="4"/>
  <c r="K108" i="4"/>
  <c r="L107" i="4"/>
  <c r="M107" i="4"/>
  <c r="N107" i="4"/>
  <c r="K107" i="4"/>
  <c r="L106" i="4"/>
  <c r="M106" i="4"/>
  <c r="N106" i="4"/>
  <c r="K106" i="4"/>
  <c r="L105" i="4"/>
  <c r="M105" i="4"/>
  <c r="N105" i="4"/>
  <c r="K105" i="4"/>
  <c r="L104" i="4"/>
  <c r="K104" i="4"/>
  <c r="M104" i="4"/>
  <c r="N104" i="4"/>
  <c r="L103" i="4"/>
  <c r="M103" i="4"/>
  <c r="N103" i="4"/>
  <c r="K103" i="4"/>
  <c r="L102" i="4"/>
  <c r="K102" i="4"/>
  <c r="M102" i="4"/>
  <c r="N102" i="4"/>
  <c r="L101" i="4"/>
  <c r="M101" i="4"/>
  <c r="N101" i="4"/>
  <c r="K101" i="4"/>
  <c r="L100" i="4"/>
  <c r="M100" i="4"/>
  <c r="N100" i="4"/>
  <c r="K100" i="4"/>
  <c r="L99" i="4"/>
  <c r="M99" i="4"/>
  <c r="N99" i="4"/>
  <c r="K99" i="4"/>
  <c r="N98" i="4"/>
  <c r="K98" i="4"/>
  <c r="L98" i="4"/>
  <c r="M98" i="4"/>
  <c r="L97" i="4"/>
  <c r="M97" i="4"/>
  <c r="N97" i="4"/>
  <c r="K97" i="4"/>
  <c r="L96" i="4"/>
  <c r="M96" i="4"/>
  <c r="N96" i="4"/>
  <c r="K96" i="4"/>
  <c r="L95" i="4"/>
  <c r="M95" i="4"/>
  <c r="N95" i="4"/>
  <c r="K95" i="4"/>
  <c r="L94" i="4"/>
  <c r="M94" i="4"/>
  <c r="N94" i="4"/>
  <c r="K94" i="4"/>
  <c r="L93" i="4"/>
  <c r="M93" i="4"/>
  <c r="N93" i="4"/>
  <c r="K93" i="4"/>
  <c r="N92" i="4"/>
  <c r="K92" i="4"/>
  <c r="L92" i="4"/>
  <c r="M92" i="4"/>
  <c r="L91" i="4"/>
  <c r="M91" i="4"/>
  <c r="N91" i="4"/>
  <c r="K91" i="4"/>
  <c r="L90" i="4"/>
  <c r="M90" i="4"/>
  <c r="K90" i="4"/>
  <c r="N90" i="4"/>
  <c r="L89" i="4"/>
  <c r="M89" i="4"/>
  <c r="K89" i="4"/>
  <c r="N89" i="4"/>
  <c r="L88" i="4"/>
  <c r="M88" i="4"/>
  <c r="N88" i="4"/>
  <c r="K88" i="4"/>
  <c r="L87" i="4"/>
  <c r="M87" i="4"/>
  <c r="N87" i="4"/>
  <c r="K87" i="4"/>
  <c r="L86" i="4"/>
  <c r="M86" i="4"/>
  <c r="N86" i="4"/>
  <c r="K86" i="4"/>
  <c r="L85" i="4"/>
  <c r="M85" i="4"/>
  <c r="N85" i="4"/>
  <c r="K85" i="4"/>
  <c r="N84" i="4"/>
  <c r="K84" i="4"/>
  <c r="L84" i="4"/>
  <c r="M84" i="4"/>
  <c r="L83" i="4"/>
  <c r="M83" i="4"/>
  <c r="N83" i="4"/>
  <c r="K83" i="4"/>
  <c r="M82" i="4"/>
  <c r="N82" i="4"/>
  <c r="K82" i="4"/>
  <c r="L82" i="4"/>
  <c r="L81" i="4"/>
  <c r="M81" i="4"/>
  <c r="N81" i="4"/>
  <c r="K81" i="4"/>
  <c r="L80" i="4"/>
  <c r="N80" i="4"/>
  <c r="M80" i="4"/>
  <c r="K80" i="4"/>
  <c r="L79" i="4"/>
  <c r="M79" i="4"/>
  <c r="N79" i="4"/>
  <c r="K79" i="4"/>
  <c r="L78" i="4"/>
  <c r="N78" i="4"/>
  <c r="M78" i="4"/>
  <c r="K78" i="4"/>
  <c r="L77" i="4"/>
  <c r="M77" i="4"/>
  <c r="N77" i="4"/>
  <c r="K77" i="4"/>
  <c r="L76" i="4"/>
  <c r="M76" i="4"/>
  <c r="N76" i="4"/>
  <c r="K76" i="4"/>
  <c r="L75" i="4"/>
  <c r="M75" i="4"/>
  <c r="N75" i="4"/>
  <c r="K75" i="4"/>
  <c r="L74" i="4"/>
  <c r="M74" i="4"/>
  <c r="N74" i="4"/>
  <c r="K74" i="4"/>
  <c r="N73" i="4"/>
  <c r="K73" i="4"/>
  <c r="L73" i="4"/>
  <c r="M73" i="4"/>
  <c r="L68" i="4"/>
  <c r="N68" i="4"/>
  <c r="M68" i="4"/>
  <c r="K68" i="4"/>
  <c r="L67" i="4"/>
  <c r="K67" i="4"/>
  <c r="M67" i="4"/>
  <c r="N67" i="4"/>
  <c r="L65" i="4"/>
  <c r="M65" i="4"/>
  <c r="K65" i="4"/>
  <c r="N65" i="4"/>
  <c r="L64" i="4"/>
  <c r="M64" i="4"/>
  <c r="K64" i="4"/>
  <c r="N64" i="4"/>
  <c r="L63" i="4"/>
  <c r="K63" i="4"/>
  <c r="M63" i="4"/>
  <c r="N63" i="4"/>
  <c r="L62" i="4"/>
  <c r="K62" i="4"/>
  <c r="M62" i="4"/>
  <c r="N62" i="4"/>
  <c r="L61" i="4"/>
  <c r="N61" i="4"/>
  <c r="M61" i="4"/>
  <c r="K61" i="4"/>
  <c r="L60" i="4"/>
  <c r="N60" i="4"/>
  <c r="M60" i="4"/>
  <c r="K60" i="4"/>
  <c r="L59" i="4"/>
  <c r="M59" i="4"/>
  <c r="N59" i="4"/>
  <c r="K59" i="4"/>
  <c r="L58" i="4"/>
  <c r="M58" i="4"/>
  <c r="N58" i="4"/>
  <c r="K58" i="4"/>
  <c r="L57" i="4"/>
  <c r="K57" i="4"/>
  <c r="M57" i="4"/>
  <c r="N57" i="4"/>
  <c r="L56" i="4"/>
  <c r="K56" i="4"/>
  <c r="M56" i="4"/>
  <c r="N56" i="4"/>
  <c r="L55" i="4"/>
  <c r="M55" i="4"/>
  <c r="N55" i="4"/>
  <c r="K55" i="4"/>
  <c r="L54" i="4"/>
  <c r="K54" i="4"/>
  <c r="M54" i="4"/>
  <c r="N54" i="4"/>
  <c r="L53" i="4"/>
  <c r="M53" i="4"/>
  <c r="N53" i="4"/>
  <c r="K53" i="4"/>
  <c r="L52" i="4"/>
  <c r="M52" i="4"/>
  <c r="N52" i="4"/>
  <c r="K52" i="4"/>
  <c r="L51" i="4"/>
  <c r="K51" i="4"/>
  <c r="M51" i="4"/>
  <c r="N51" i="4"/>
  <c r="L50" i="4"/>
  <c r="M50" i="4"/>
  <c r="K50" i="4"/>
  <c r="N50" i="4"/>
  <c r="L49" i="4"/>
  <c r="M49" i="4"/>
  <c r="N49" i="4"/>
  <c r="K49" i="4"/>
  <c r="L48" i="4"/>
  <c r="K48" i="4"/>
  <c r="M48" i="4"/>
  <c r="N48" i="4"/>
  <c r="L47" i="4"/>
  <c r="M47" i="4"/>
  <c r="N47" i="4"/>
  <c r="K47" i="4"/>
  <c r="L46" i="4"/>
  <c r="M46" i="4"/>
  <c r="N46" i="4"/>
  <c r="K46" i="4"/>
  <c r="N41" i="4"/>
  <c r="L41" i="4"/>
  <c r="M42" i="4"/>
  <c r="M45" i="4"/>
  <c r="K43" i="4"/>
  <c r="M41" i="4"/>
  <c r="K45" i="4"/>
  <c r="N43" i="4"/>
  <c r="N45" i="4"/>
  <c r="N39" i="4"/>
  <c r="K41" i="4"/>
  <c r="L42" i="4"/>
  <c r="L45" i="4"/>
  <c r="K39" i="4"/>
  <c r="N42" i="4"/>
  <c r="K42" i="4"/>
  <c r="L38" i="4"/>
  <c r="M38" i="4"/>
  <c r="N38" i="4"/>
  <c r="K38" i="4"/>
  <c r="L37" i="4"/>
  <c r="N37" i="4"/>
  <c r="K37" i="4"/>
  <c r="M37" i="4"/>
  <c r="L36" i="4"/>
  <c r="M36" i="4"/>
  <c r="N36" i="4"/>
  <c r="K36" i="4"/>
  <c r="L35" i="4"/>
  <c r="M35" i="4"/>
  <c r="N35" i="4"/>
  <c r="K35" i="4"/>
  <c r="L34" i="4"/>
  <c r="K34" i="4"/>
  <c r="M34" i="4"/>
  <c r="N34" i="4"/>
  <c r="L33" i="4"/>
  <c r="M33" i="4"/>
  <c r="N33" i="4"/>
  <c r="K33" i="4"/>
  <c r="L32" i="4"/>
  <c r="M32" i="4"/>
  <c r="N32" i="4"/>
  <c r="K32" i="4"/>
  <c r="L31" i="4"/>
  <c r="M31" i="4"/>
  <c r="N31" i="4"/>
  <c r="K31" i="4"/>
  <c r="N30" i="4"/>
  <c r="K30" i="4"/>
  <c r="L29" i="4"/>
  <c r="K29" i="4"/>
  <c r="M29" i="4"/>
  <c r="N29" i="4"/>
  <c r="L28" i="4"/>
  <c r="M28" i="4"/>
  <c r="N28" i="4"/>
  <c r="K28" i="4"/>
  <c r="L19" i="4"/>
  <c r="M19" i="4"/>
  <c r="N19" i="4"/>
  <c r="K19" i="4"/>
  <c r="L18" i="4"/>
  <c r="N18" i="4"/>
  <c r="M18" i="4"/>
  <c r="K18" i="4"/>
  <c r="L17" i="4"/>
  <c r="M17" i="4"/>
  <c r="N17" i="4"/>
  <c r="K17" i="4"/>
  <c r="L16" i="4"/>
  <c r="M16" i="4"/>
  <c r="N16" i="4"/>
  <c r="K16" i="4"/>
  <c r="L15" i="4"/>
  <c r="M15" i="4"/>
  <c r="N15" i="4"/>
  <c r="K15" i="4"/>
  <c r="L14" i="4"/>
  <c r="M14" i="4"/>
  <c r="N14" i="4"/>
  <c r="K14" i="4"/>
  <c r="L13" i="4"/>
  <c r="M13" i="4"/>
  <c r="N13" i="4"/>
  <c r="K13" i="4"/>
  <c r="L12" i="4"/>
  <c r="M12" i="4"/>
  <c r="N12" i="4"/>
  <c r="K12" i="4"/>
  <c r="L11" i="4"/>
  <c r="M11" i="4"/>
  <c r="N11" i="4"/>
  <c r="K11" i="4"/>
  <c r="M10" i="4"/>
  <c r="L10" i="4"/>
  <c r="K10" i="4"/>
  <c r="L9" i="4"/>
  <c r="M9" i="4"/>
  <c r="N9" i="4"/>
  <c r="K9" i="4"/>
  <c r="L8" i="4"/>
  <c r="K8" i="4"/>
  <c r="M8" i="4"/>
  <c r="N8" i="4"/>
  <c r="L7" i="4"/>
  <c r="N7" i="4"/>
  <c r="K7" i="4"/>
  <c r="M7" i="4"/>
  <c r="L6" i="4"/>
  <c r="M6" i="4"/>
  <c r="N6" i="4"/>
  <c r="K6" i="4"/>
  <c r="L5" i="4"/>
  <c r="M5" i="4"/>
  <c r="N5" i="4"/>
  <c r="K5" i="4"/>
  <c r="L4" i="4"/>
  <c r="K4" i="4"/>
  <c r="M4" i="4"/>
  <c r="N4" i="4"/>
  <c r="L3" i="4"/>
  <c r="K3" i="4"/>
  <c r="N3" i="4"/>
  <c r="M3" i="4"/>
  <c r="S2" i="3" l="1"/>
  <c r="S2" i="1"/>
  <c r="D2" i="4" l="1"/>
  <c r="E2" i="4" s="1"/>
  <c r="I2" i="4" l="1"/>
  <c r="L2" i="4"/>
  <c r="K2" i="4"/>
  <c r="M2" i="4"/>
  <c r="N2" i="4"/>
</calcChain>
</file>

<file path=xl/sharedStrings.xml><?xml version="1.0" encoding="utf-8"?>
<sst xmlns="http://schemas.openxmlformats.org/spreadsheetml/2006/main" count="725" uniqueCount="113">
  <si>
    <t>last_name</t>
  </si>
  <si>
    <t>first_name</t>
  </si>
  <si>
    <t>employee</t>
  </si>
  <si>
    <t>transaction_date</t>
  </si>
  <si>
    <t>date</t>
  </si>
  <si>
    <t>wo</t>
  </si>
  <si>
    <t>task_card</t>
  </si>
  <si>
    <t>str</t>
  </si>
  <si>
    <t>fin</t>
  </si>
  <si>
    <t>hr</t>
  </si>
  <si>
    <t>mn</t>
  </si>
  <si>
    <t>hr2</t>
  </si>
  <si>
    <t>mn2</t>
  </si>
  <si>
    <t>start_hour</t>
  </si>
  <si>
    <t>start_minute</t>
  </si>
  <si>
    <t>end_hour</t>
  </si>
  <si>
    <t>end_minute</t>
  </si>
  <si>
    <t>real time</t>
  </si>
  <si>
    <t>code</t>
  </si>
  <si>
    <t>TRAX</t>
  </si>
  <si>
    <t>cat</t>
  </si>
  <si>
    <t>table</t>
  </si>
  <si>
    <t>fn</t>
  </si>
  <si>
    <t>rough time</t>
  </si>
  <si>
    <t>approved time</t>
  </si>
  <si>
    <t>TRAX time</t>
  </si>
  <si>
    <t>assigned time</t>
  </si>
  <si>
    <t>missing time</t>
  </si>
  <si>
    <t>extra time</t>
  </si>
  <si>
    <t>category</t>
  </si>
  <si>
    <t>a/c</t>
  </si>
  <si>
    <t>last name</t>
  </si>
  <si>
    <t>first name</t>
  </si>
  <si>
    <t>ID</t>
  </si>
  <si>
    <t>company</t>
  </si>
  <si>
    <t>rate</t>
  </si>
  <si>
    <t>status</t>
  </si>
  <si>
    <t>Enter Start of Pay Period:</t>
  </si>
  <si>
    <t>last date</t>
  </si>
  <si>
    <t>CONTRACT34</t>
  </si>
  <si>
    <t>ANDREWS</t>
  </si>
  <si>
    <t>CONTRACT97</t>
  </si>
  <si>
    <t>BELL</t>
  </si>
  <si>
    <t>CHRIS</t>
  </si>
  <si>
    <t>CORT</t>
  </si>
  <si>
    <t>CONTRACT33</t>
  </si>
  <si>
    <t>DOUG</t>
  </si>
  <si>
    <t>CONTRACT32</t>
  </si>
  <si>
    <t>BOWEN</t>
  </si>
  <si>
    <t>TED</t>
  </si>
  <si>
    <t>CONTRACT25</t>
  </si>
  <si>
    <t>BROWN</t>
  </si>
  <si>
    <t>BILL</t>
  </si>
  <si>
    <t>BURNS</t>
  </si>
  <si>
    <t>ROY</t>
  </si>
  <si>
    <t>CONTRACT28</t>
  </si>
  <si>
    <t>BURRELL</t>
  </si>
  <si>
    <t>JACK</t>
  </si>
  <si>
    <t>CONTRACT26</t>
  </si>
  <si>
    <t>CHENEY</t>
  </si>
  <si>
    <t>SCOTT</t>
  </si>
  <si>
    <t>CONTRACT24</t>
  </si>
  <si>
    <t>COOPER</t>
  </si>
  <si>
    <t>CONTRACT67</t>
  </si>
  <si>
    <t>BELTRAMI</t>
  </si>
  <si>
    <t>ANDY</t>
  </si>
  <si>
    <t>CONTRACT38</t>
  </si>
  <si>
    <t>DIER</t>
  </si>
  <si>
    <t>SANDRA</t>
  </si>
  <si>
    <t>CONTRACT39</t>
  </si>
  <si>
    <t>DUNSBERRY</t>
  </si>
  <si>
    <t>JEFF</t>
  </si>
  <si>
    <t>CONTRACT22</t>
  </si>
  <si>
    <t>FIELD</t>
  </si>
  <si>
    <t>GINNY</t>
  </si>
  <si>
    <t>CONTRACT29</t>
  </si>
  <si>
    <t>GARRIS</t>
  </si>
  <si>
    <t>MIKE</t>
  </si>
  <si>
    <t>CONTRACT88</t>
  </si>
  <si>
    <t>CONTRACT07</t>
  </si>
  <si>
    <t>GARTH</t>
  </si>
  <si>
    <t>CHUCK</t>
  </si>
  <si>
    <t>GUTHRIE</t>
  </si>
  <si>
    <t>PAUL</t>
  </si>
  <si>
    <t>CONTRACT23</t>
  </si>
  <si>
    <t>HARDY</t>
  </si>
  <si>
    <t>ALICE</t>
  </si>
  <si>
    <t>CONTRACT16</t>
  </si>
  <si>
    <t>HIGGINS</t>
  </si>
  <si>
    <t>CONTRACT12</t>
  </si>
  <si>
    <t>JARVIS</t>
  </si>
  <si>
    <t>TOMMY</t>
  </si>
  <si>
    <t>CONTRACT60</t>
  </si>
  <si>
    <t>KELSO</t>
  </si>
  <si>
    <t>EDDIE</t>
  </si>
  <si>
    <t>MCCARTHY</t>
  </si>
  <si>
    <t>TERRY</t>
  </si>
  <si>
    <t>CONTRACT73</t>
  </si>
  <si>
    <t>ROBERTS</t>
  </si>
  <si>
    <t>PAM</t>
  </si>
  <si>
    <t>CONTRACT14</t>
  </si>
  <si>
    <t>RUBENSTEIN</t>
  </si>
  <si>
    <t>NED</t>
  </si>
  <si>
    <t>CONTRACT85</t>
  </si>
  <si>
    <t>STANLER</t>
  </si>
  <si>
    <t>MARCIE</t>
  </si>
  <si>
    <t>CONTRACT21</t>
  </si>
  <si>
    <t>WINTER</t>
  </si>
  <si>
    <t>REGGIE</t>
  </si>
  <si>
    <t>CONTRACT06</t>
  </si>
  <si>
    <t>CHRISTY</t>
  </si>
  <si>
    <t>STEVE</t>
  </si>
  <si>
    <t>CONTRACT52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</si>
</sst>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\ h:mm;@"/>
    <numFmt numFmtId="165" formatCode="h:mm;@"/>
    <numFmt numFmtId="166" formatCode="&quot;$&quot;#,##0.00"/>
    <numFmt numFmtId="167" formatCode="[h]:m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Marlett"/>
      <charset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37">
    <xf numFmtId="0" fontId="0" fillId="0" borderId="0" xfId="0"/>
    <xf numFmtId="0" fontId="1" fillId="0" borderId="0" xfId="0" applyFont="1"/>
    <xf numFmtId="164" fontId="1" fillId="0" borderId="0" xfId="0" applyNumberFormat="1" applyFont="1"/>
    <xf numFmtId="14" fontId="1" fillId="0" borderId="0" xfId="0" applyNumberFormat="1" applyFont="1"/>
    <xf numFmtId="165" fontId="1" fillId="0" borderId="0" xfId="0" applyNumberFormat="1" applyFont="1"/>
    <xf numFmtId="0" fontId="1" fillId="0" borderId="0" xfId="0" applyFont="1" applyAlignment="1">
      <alignment horizontal="left"/>
    </xf>
    <xf numFmtId="0" fontId="3" fillId="0" borderId="0" xfId="2" applyFont="1"/>
    <xf numFmtId="14" fontId="1" fillId="0" borderId="0" xfId="0" applyNumberFormat="1" applyFont="1" applyAlignment="1">
      <alignment horizontal="right"/>
    </xf>
    <xf numFmtId="0" fontId="4" fillId="0" borderId="0" xfId="2" applyFont="1"/>
    <xf numFmtId="0" fontId="5" fillId="0" borderId="0" xfId="2" applyFont="1" applyAlignment="1">
      <alignment horizontal="center"/>
    </xf>
    <xf numFmtId="20" fontId="1" fillId="0" borderId="0" xfId="0" applyNumberFormat="1" applyFont="1"/>
    <xf numFmtId="167" fontId="1" fillId="0" borderId="0" xfId="0" applyNumberFormat="1" applyFont="1"/>
    <xf numFmtId="0" fontId="6" fillId="0" borderId="0" xfId="2" applyFont="1"/>
    <xf numFmtId="22" fontId="6" fillId="0" borderId="0" xfId="2" applyNumberFormat="1" applyFont="1" applyAlignment="1">
      <alignment horizontal="right"/>
    </xf>
    <xf numFmtId="14" fontId="7" fillId="0" borderId="0" xfId="0" applyNumberFormat="1" applyFont="1" applyAlignment="1">
      <alignment horizontal="right"/>
    </xf>
    <xf numFmtId="165" fontId="7" fillId="0" borderId="0" xfId="0" applyNumberFormat="1" applyFont="1"/>
    <xf numFmtId="167" fontId="7" fillId="0" borderId="0" xfId="0" applyNumberFormat="1" applyFont="1"/>
    <xf numFmtId="0" fontId="8" fillId="0" borderId="0" xfId="2" applyFont="1"/>
    <xf numFmtId="22" fontId="1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horizontal="left" vertical="center" wrapText="1"/>
    </xf>
    <xf numFmtId="165" fontId="1" fillId="0" borderId="0" xfId="0" applyNumberFormat="1" applyFont="1" applyAlignment="1">
      <alignment vertical="center" wrapText="1"/>
    </xf>
    <xf numFmtId="167" fontId="1" fillId="0" borderId="0" xfId="0" applyNumberFormat="1" applyFont="1" applyAlignment="1">
      <alignment horizontal="center" vertical="center" wrapText="1"/>
    </xf>
    <xf numFmtId="167" fontId="0" fillId="0" borderId="0" xfId="0" applyNumberFormat="1"/>
    <xf numFmtId="0" fontId="7" fillId="0" borderId="0" xfId="0" applyFont="1"/>
    <xf numFmtId="22" fontId="7" fillId="0" borderId="0" xfId="0" applyNumberFormat="1" applyFont="1"/>
    <xf numFmtId="0" fontId="9" fillId="0" borderId="0" xfId="2" applyFont="1" applyFill="1"/>
    <xf numFmtId="165" fontId="10" fillId="0" borderId="0" xfId="0" applyNumberFormat="1" applyFont="1"/>
    <xf numFmtId="0" fontId="10" fillId="0" borderId="0" xfId="0" applyFont="1"/>
    <xf numFmtId="22" fontId="10" fillId="0" borderId="0" xfId="0" applyNumberFormat="1" applyFont="1"/>
    <xf numFmtId="0" fontId="10" fillId="0" borderId="0" xfId="0" applyNumberFormat="1" applyFont="1"/>
    <xf numFmtId="166" fontId="10" fillId="0" borderId="0" xfId="0" applyNumberFormat="1" applyFont="1"/>
    <xf numFmtId="14" fontId="10" fillId="0" borderId="0" xfId="0" applyNumberFormat="1" applyFont="1"/>
    <xf numFmtId="20" fontId="10" fillId="0" borderId="0" xfId="0" applyNumberFormat="1" applyFont="1"/>
    <xf numFmtId="167" fontId="10" fillId="0" borderId="0" xfId="0" applyNumberFormat="1" applyFont="1"/>
  </cellXfs>
  <cellStyles count="4">
    <cellStyle name="Normal" xfId="0" builtinId="0"/>
    <cellStyle name="Normal 2" xfId="2" xr:uid="{00000000-0005-0000-0000-000001000000}"/>
    <cellStyle name="Normal 2 2" xfId="3" xr:uid="{00000000-0005-0000-0000-000002000000}"/>
    <cellStyle name="Normal 3" xfId="1" xr:uid="{00000000-0005-0000-0000-000003000000}"/>
  </cellStyles>
  <dxfs count="92">
    <dxf>
      <fill>
        <patternFill>
          <bgColor rgb="FF00FF00"/>
        </patternFill>
      </fill>
    </dxf>
    <dxf>
      <font>
        <color theme="0"/>
      </font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00FFFF"/>
        </patternFill>
      </fill>
    </dxf>
    <dxf>
      <font>
        <color theme="0"/>
      </font>
    </dxf>
    <dxf>
      <font>
        <color theme="0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[h]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[h]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[h]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[h]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[h]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[h]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arlet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righ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7" formatCode="m/d/yyyy\ h:mm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[h]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arlet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righ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7" formatCode="m/d/yyyy\ h:mm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</dxfs>
  <tableStyles count="0" defaultTableStyle="TableStyleMedium9" defaultPivotStyle="PivotStyleLight16"/>
  <colors>
    <mruColors>
      <color rgb="FF00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1</xdr:row>
      <xdr:rowOff>95250</xdr:rowOff>
    </xdr:from>
    <xdr:to>
      <xdr:col>7</xdr:col>
      <xdr:colOff>57150</xdr:colOff>
      <xdr:row>7</xdr:row>
      <xdr:rowOff>95250</xdr:rowOff>
    </xdr:to>
    <xdr:pic>
      <xdr:nvPicPr>
        <xdr:cNvPr id="4" name="Picture 3" descr="https://7fweb/Corporate/documents/images/350By120Logo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285750"/>
          <a:ext cx="333375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428625</xdr:colOff>
      <xdr:row>16</xdr:row>
      <xdr:rowOff>38100</xdr:rowOff>
    </xdr:from>
    <xdr:to>
      <xdr:col>5</xdr:col>
      <xdr:colOff>142875</xdr:colOff>
      <xdr:row>18</xdr:row>
      <xdr:rowOff>9525</xdr:rowOff>
    </xdr:to>
    <xdr:sp macro="[0]!AllInFolde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57425" y="3086100"/>
          <a:ext cx="1190625" cy="352425"/>
        </a:xfrm>
        <a:prstGeom prst="roundRect">
          <a:avLst/>
        </a:prstGeom>
        <a:solidFill>
          <a:srgbClr val="C41E3A"/>
        </a:solidFill>
        <a:ln>
          <a:solidFill>
            <a:srgbClr val="8C26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Import WOs</a:t>
          </a:r>
        </a:p>
      </xdr:txBody>
    </xdr:sp>
    <xdr:clientData/>
  </xdr:twoCellAnchor>
  <xdr:twoCellAnchor>
    <xdr:from>
      <xdr:col>3</xdr:col>
      <xdr:colOff>438150</xdr:colOff>
      <xdr:row>18</xdr:row>
      <xdr:rowOff>180975</xdr:rowOff>
    </xdr:from>
    <xdr:to>
      <xdr:col>5</xdr:col>
      <xdr:colOff>152400</xdr:colOff>
      <xdr:row>20</xdr:row>
      <xdr:rowOff>152400</xdr:rowOff>
    </xdr:to>
    <xdr:sp macro="[0]!ma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66950" y="3609975"/>
          <a:ext cx="1190625" cy="352425"/>
        </a:xfrm>
        <a:prstGeom prst="roundRect">
          <a:avLst/>
        </a:prstGeom>
        <a:solidFill>
          <a:srgbClr val="C41E3A"/>
        </a:solidFill>
        <a:ln>
          <a:solidFill>
            <a:srgbClr val="8C26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/>
            <a:t>Import employe</a:t>
          </a:r>
          <a:r>
            <a:rPr lang="en-US" sz="1000" baseline="0"/>
            <a:t>e hours</a:t>
          </a:r>
          <a:endParaRPr 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tractors" displayName="Contractors" ref="A1:T2" totalsRowShown="0" headerRowDxfId="91">
  <autoFilter ref="A1:T2" xr:uid="{00000000-0009-0000-0100-000001000000}"/>
  <sortState xmlns:xlrd2="http://schemas.microsoft.com/office/spreadsheetml/2017/richdata2" ref="A2:T2">
    <sortCondition ref="E1:E2"/>
  </sortState>
  <tableColumns count="20">
    <tableColumn id="1" xr3:uid="{00000000-0010-0000-0000-000001000000}" name="last_name" dataDxfId="90" dataCellStyle="Normal 2"/>
    <tableColumn id="2" xr3:uid="{00000000-0010-0000-0000-000002000000}" name="first_name" dataDxfId="89" dataCellStyle="Normal 2"/>
    <tableColumn id="3" xr3:uid="{00000000-0010-0000-0000-000003000000}" name="employee" dataDxfId="88" dataCellStyle="Normal 2"/>
    <tableColumn id="4" xr3:uid="{00000000-0010-0000-0000-000004000000}" name="transaction_date" dataDxfId="87" dataCellStyle="Normal 2"/>
    <tableColumn id="5" xr3:uid="{00000000-0010-0000-0000-000005000000}" name="date" dataDxfId="86">
      <calculatedColumnFormula>IF(OR(OR(TIME(N2,O2,0)&gt;TIME(P2,Q2,0),AND(0&lt;P2,P2&lt;4),AND(0&lt;N2,N2&lt;4)),Contractors[code]="x"),D2-1,D2)</calculatedColumnFormula>
    </tableColumn>
    <tableColumn id="6" xr3:uid="{00000000-0010-0000-0000-000006000000}" name="wo" dataDxfId="85" dataCellStyle="Normal 2"/>
    <tableColumn id="7" xr3:uid="{00000000-0010-0000-0000-000007000000}" name="task_card" dataDxfId="84" dataCellStyle="Normal 2"/>
    <tableColumn id="8" xr3:uid="{00000000-0010-0000-0000-000008000000}" name="str" dataDxfId="83">
      <calculatedColumnFormula>IF(SUM(Contractors[[#This Row],[start_hour]:[end_minute]])&lt;&gt;0,IF((TIME(N2,O2,0)-TIME(4,0,0))&gt;0,TIME(N2,O2,0)-TIME(4,0,0),TIME(24-ABS(N2-4),O2,0)),0)</calculatedColumnFormula>
    </tableColumn>
    <tableColumn id="9" xr3:uid="{00000000-0010-0000-0000-000009000000}" name="fin" dataDxfId="82">
      <calculatedColumnFormula>IF(SUM(Contractors[[#This Row],[start_hour]:[end_minute]])&lt;&gt;0,IF((TIME(P2,Q2,0)-TIME(4,0,0))&gt;0,TIME(P2,Q2,0)-TIME(4,0,0),TIME(24-ABS(P2-4),Q2,0)),0)</calculatedColumnFormula>
    </tableColumn>
    <tableColumn id="10" xr3:uid="{00000000-0010-0000-0000-00000A000000}" name="hr" dataDxfId="81" dataCellStyle="Normal 2"/>
    <tableColumn id="11" xr3:uid="{00000000-0010-0000-0000-00000B000000}" name="mn" dataDxfId="80" dataCellStyle="Normal 2"/>
    <tableColumn id="12" xr3:uid="{00000000-0010-0000-0000-00000C000000}" name="hr2" dataDxfId="79" dataCellStyle="Normal 2"/>
    <tableColumn id="13" xr3:uid="{00000000-0010-0000-0000-00000D000000}" name="mn2" dataDxfId="78" dataCellStyle="Normal 2"/>
    <tableColumn id="14" xr3:uid="{00000000-0010-0000-0000-00000E000000}" name="start_hour" dataDxfId="77" dataCellStyle="Normal 2"/>
    <tableColumn id="15" xr3:uid="{00000000-0010-0000-0000-00000F000000}" name="start_minute" dataDxfId="76" dataCellStyle="Normal 2"/>
    <tableColumn id="16" xr3:uid="{00000000-0010-0000-0000-000010000000}" name="end_hour" dataDxfId="75" dataCellStyle="Normal 2"/>
    <tableColumn id="17" xr3:uid="{00000000-0010-0000-0000-000011000000}" name="end_minute" dataDxfId="74" dataCellStyle="Normal 2"/>
    <tableColumn id="21" xr3:uid="{00000000-0010-0000-0000-000015000000}" name="TRAX" dataDxfId="73" dataCellStyle="Normal 2"/>
    <tableColumn id="18" xr3:uid="{00000000-0010-0000-0000-000012000000}" name="real time" dataDxfId="72">
      <calculatedColumnFormula>IFERROR(Contractors[hr2]/24 + TIME(0,Contractors[mn2],0),0)</calculatedColumnFormula>
    </tableColumn>
    <tableColumn id="19" xr3:uid="{00000000-0010-0000-0000-000013000000}" name="code" dataDxfId="71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mployees" displayName="Employees" ref="A1:T2" totalsRowShown="0" headerRowDxfId="70" dataDxfId="69">
  <autoFilter ref="A1:T2" xr:uid="{00000000-0009-0000-0100-000002000000}"/>
  <tableColumns count="20">
    <tableColumn id="1" xr3:uid="{00000000-0010-0000-0100-000001000000}" name="last_name" dataDxfId="68" dataCellStyle="Normal 2"/>
    <tableColumn id="2" xr3:uid="{00000000-0010-0000-0100-000002000000}" name="first_name" dataDxfId="67" dataCellStyle="Normal 2"/>
    <tableColumn id="3" xr3:uid="{00000000-0010-0000-0100-000003000000}" name="employee" dataDxfId="66" dataCellStyle="Normal 2"/>
    <tableColumn id="4" xr3:uid="{00000000-0010-0000-0100-000004000000}" name="transaction_date" dataDxfId="65" dataCellStyle="Normal 2"/>
    <tableColumn id="5" xr3:uid="{00000000-0010-0000-0100-000005000000}" name="date" dataDxfId="64">
      <calculatedColumnFormula>IF(OR(OR(TIME(N2,O2,0)&gt;TIME(P2,Q2,0),AND(0&lt;P2,P2&lt;4),AND(0&lt;N2,N2&lt;4)),Employees[code]="x"),D2-1,D2)</calculatedColumnFormula>
    </tableColumn>
    <tableColumn id="6" xr3:uid="{00000000-0010-0000-0100-000006000000}" name="wo" dataDxfId="63" dataCellStyle="Normal 2"/>
    <tableColumn id="7" xr3:uid="{00000000-0010-0000-0100-000007000000}" name="task_card" dataDxfId="62" dataCellStyle="Normal 2"/>
    <tableColumn id="8" xr3:uid="{00000000-0010-0000-0100-000008000000}" name="str" dataDxfId="61">
      <calculatedColumnFormula>IF(SUM(Employees[[#This Row],[start_hour]:[end_minute]])&lt;&gt;0,IF((TIME(N2,O2,0)-TIME(4,0,0))&gt;0,TIME(N2,O2,0)-TIME(4,0,0),TIME(24-ABS(N2-4),O2,0)),0)</calculatedColumnFormula>
    </tableColumn>
    <tableColumn id="9" xr3:uid="{00000000-0010-0000-0100-000009000000}" name="fin" dataDxfId="60">
      <calculatedColumnFormula>IF(SUM(Employees[[#This Row],[start_hour]:[end_minute]])&lt;&gt;0,IF((TIME(P2,Q2,0)-TIME(4,0,0))&gt;0,TIME(P2,Q2,0)-TIME(4,0,0),TIME(24-ABS(P2-4),Q2,0)),0)</calculatedColumnFormula>
    </tableColumn>
    <tableColumn id="10" xr3:uid="{00000000-0010-0000-0100-00000A000000}" name="hr" dataDxfId="59" dataCellStyle="Normal 2"/>
    <tableColumn id="11" xr3:uid="{00000000-0010-0000-0100-00000B000000}" name="mn" dataDxfId="58" dataCellStyle="Normal 2"/>
    <tableColumn id="12" xr3:uid="{00000000-0010-0000-0100-00000C000000}" name="hr2" dataDxfId="57" dataCellStyle="Normal 2"/>
    <tableColumn id="13" xr3:uid="{00000000-0010-0000-0100-00000D000000}" name="mn2" dataDxfId="56" dataCellStyle="Normal 2"/>
    <tableColumn id="14" xr3:uid="{00000000-0010-0000-0100-00000E000000}" name="start_hour" dataDxfId="55" dataCellStyle="Normal 2"/>
    <tableColumn id="15" xr3:uid="{00000000-0010-0000-0100-00000F000000}" name="start_minute" dataDxfId="54" dataCellStyle="Normal 2"/>
    <tableColumn id="16" xr3:uid="{00000000-0010-0000-0100-000010000000}" name="end_hour" dataDxfId="53" dataCellStyle="Normal 2"/>
    <tableColumn id="17" xr3:uid="{00000000-0010-0000-0100-000011000000}" name="end_minute" dataDxfId="52" dataCellStyle="Normal 2"/>
    <tableColumn id="21" xr3:uid="{00000000-0010-0000-0100-000015000000}" name="TRAX" dataDxfId="51" dataCellStyle="Normal 2"/>
    <tableColumn id="18" xr3:uid="{00000000-0010-0000-0100-000012000000}" name="real time" dataDxfId="50">
      <calculatedColumnFormula>IFERROR(Employees[hr2]/24 + TIME(0,Employees[mn2],0),0)</calculatedColumnFormula>
    </tableColumn>
    <tableColumn id="19" xr3:uid="{00000000-0010-0000-0100-000013000000}" name="code" dataDxfId="49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Hours" displayName="Hours" ref="A1:N220" totalsRowShown="0" headerRowDxfId="38" dataDxfId="37">
  <autoFilter ref="A1:N220" xr:uid="{00000000-0009-0000-0100-000003000000}"/>
  <tableColumns count="14">
    <tableColumn id="1" xr3:uid="{00000000-0010-0000-0200-000001000000}" name="last_name" dataDxfId="36" dataCellStyle="Normal 2"/>
    <tableColumn id="2" xr3:uid="{00000000-0010-0000-0200-000002000000}" name="first_name" dataDxfId="35" dataCellStyle="Normal 2"/>
    <tableColumn id="3" xr3:uid="{00000000-0010-0000-0200-000003000000}" name="employee" dataDxfId="34" dataCellStyle="Normal 2"/>
    <tableColumn id="4" xr3:uid="{00000000-0010-0000-0200-000004000000}" name="cat" dataDxfId="33">
      <calculatedColumnFormula>IF(NOT(ISBLANK(Hours[[#This Row],[employee]])),IF(ISNUMBER(Hours[[#This Row],[employee]]),"REG","CON"),"")</calculatedColumnFormula>
    </tableColumn>
    <tableColumn id="5" xr3:uid="{00000000-0010-0000-0200-000005000000}" name="table" dataDxfId="32">
      <calculatedColumnFormula>IF(Hours[[#This Row],[cat]]="CON","Contractors",IF(Hours[[#This Row],[cat]]="REG","Employees",""))</calculatedColumnFormula>
    </tableColumn>
    <tableColumn id="6" xr3:uid="{00000000-0010-0000-0200-000006000000}" name="date" dataDxfId="31"/>
    <tableColumn id="7" xr3:uid="{00000000-0010-0000-0200-000007000000}" name="str" dataDxfId="30"/>
    <tableColumn id="8" xr3:uid="{00000000-0010-0000-0200-000008000000}" name="fn" dataDxfId="29"/>
    <tableColumn id="9" xr3:uid="{00000000-0010-0000-0200-000009000000}" name="rough time" dataDxfId="28">
      <calculatedColumnFormula>IF(H2&lt;G2,24+H2-G2,H2-G2)</calculatedColumnFormula>
    </tableColumn>
    <tableColumn id="10" xr3:uid="{00000000-0010-0000-0200-00000A000000}" name="approved time" dataDxfId="27"/>
    <tableColumn id="11" xr3:uid="{00000000-0010-0000-0200-00000B000000}" name="TRAX time" dataDxfId="26">
      <calculatedColumnFormula>IFERROR(SUMIFS(INDIRECT(Hours[[#This Row],[table]]&amp;"[real time]"),INDIRECT(Hours[[#This Row],[table]]&amp;"[employee]"),C2,INDIRECT(Hours[[#This Row],[table]]&amp;"[date]"),F2),"")</calculatedColumnFormula>
    </tableColumn>
    <tableColumn id="12" xr3:uid="{00000000-0010-0000-0200-00000C000000}" name="assigned time" dataDxfId="25">
      <calculatedColumnFormula>IFERROR(SUM(SUMIFS(INDIRECT(Hours[[#This Row],[table]]&amp;"[real time]"),INDIRECT(Hours[[#This Row],[table]]&amp;"[employee]"),C2,INDIRECT(Hours[[#This Row],[table]]&amp;"[date]"),F2,INDIRECT(Hours[[#This Row],[table]]&amp;"[code]"),{"a","x",""})),"")</calculatedColumnFormula>
    </tableColumn>
    <tableColumn id="13" xr3:uid="{00000000-0010-0000-0200-00000D000000}" name="missing time" dataDxfId="24">
      <calculatedColumnFormula>IFERROR(SUMIFS(INDIRECT(Hours[[#This Row],[table]]&amp;"[real time]"),INDIRECT(Hours[[#This Row],[table]]&amp;"[employee]"),C2,INDIRECT(Hours[[#This Row],[table]]&amp;"[date]"),F2,INDIRECT(Hours[[#This Row],[table]]&amp;"[code]"),"m"),"")</calculatedColumnFormula>
    </tableColumn>
    <tableColumn id="14" xr3:uid="{00000000-0010-0000-0200-00000E000000}" name="extra time" dataDxfId="23">
      <calculatedColumnFormula>IFERROR(SUMIFS(INDIRECT(Hours[[#This Row],[table]]&amp;"[real time]"),INDIRECT(Hours[[#This Row],[table]]&amp;"[employee]"),C2,INDIRECT(Hours[[#This Row],[table]]&amp;"[date]"),F2,INDIRECT(Hours[[#This Row],[table]]&amp;"[code]"),"e"),"")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O" displayName="WO" ref="A1:D2" insertRow="1" totalsRowShown="0" headerRowDxfId="48" dataDxfId="47">
  <autoFilter ref="A1:D2" xr:uid="{00000000-0009-0000-0100-000004000000}"/>
  <sortState xmlns:xlrd2="http://schemas.microsoft.com/office/spreadsheetml/2017/richdata2" ref="A2:D15">
    <sortCondition ref="A1:A15"/>
  </sortState>
  <tableColumns count="4">
    <tableColumn id="1" xr3:uid="{00000000-0010-0000-0300-000001000000}" name="wo" dataDxfId="46"/>
    <tableColumn id="2" xr3:uid="{00000000-0010-0000-0300-000002000000}" name="category" dataDxfId="45"/>
    <tableColumn id="3" xr3:uid="{00000000-0010-0000-0300-000003000000}" name="a/c" dataDxfId="44"/>
    <tableColumn id="4" xr3:uid="{00000000-0010-0000-0300-000004000000}" name="last date" dataDxfId="4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Con_Rates" displayName="Con_Rates" ref="G1:K2" insertRow="1" totalsRowShown="0" headerRowDxfId="42">
  <autoFilter ref="G1:K2" xr:uid="{00000000-0009-0000-0100-000005000000}"/>
  <sortState xmlns:xlrd2="http://schemas.microsoft.com/office/spreadsheetml/2017/richdata2" ref="G2:K26">
    <sortCondition ref="G1:G26"/>
    <sortCondition ref="H1:H26"/>
  </sortState>
  <tableColumns count="5">
    <tableColumn id="1" xr3:uid="{00000000-0010-0000-0400-000001000000}" name="last name"/>
    <tableColumn id="2" xr3:uid="{00000000-0010-0000-0400-000002000000}" name="first name"/>
    <tableColumn id="3" xr3:uid="{00000000-0010-0000-0400-000003000000}" name="ID"/>
    <tableColumn id="4" xr3:uid="{00000000-0010-0000-0400-000004000000}" name="company" dataDxfId="41"/>
    <tableColumn id="5" xr3:uid="{00000000-0010-0000-0400-000005000000}" name="rate" dataDxfId="4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mp_Status" displayName="Emp_Status" ref="N1:Q2" insertRow="1" totalsRowShown="0" headerRowDxfId="39">
  <autoFilter ref="N1:Q2" xr:uid="{00000000-0009-0000-0100-000006000000}"/>
  <sortState xmlns:xlrd2="http://schemas.microsoft.com/office/spreadsheetml/2017/richdata2" ref="N2:Q25">
    <sortCondition ref="N1:N25"/>
    <sortCondition ref="O1:O25"/>
  </sortState>
  <tableColumns count="4">
    <tableColumn id="1" xr3:uid="{00000000-0010-0000-0500-000001000000}" name="last name"/>
    <tableColumn id="2" xr3:uid="{00000000-0010-0000-0500-000002000000}" name="first name"/>
    <tableColumn id="3" xr3:uid="{00000000-0010-0000-0500-000003000000}" name="ID"/>
    <tableColumn id="4" xr3:uid="{00000000-0010-0000-0500-000004000000}" name="statu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7"/>
  <sheetViews>
    <sheetView showGridLines="0" tabSelected="1" zoomScaleNormal="100" workbookViewId="0">
      <selection activeCell="I14" sqref="I14"/>
    </sheetView>
  </sheetViews>
  <sheetFormatPr defaultColWidth="0" defaultRowHeight="15" zeroHeight="1" x14ac:dyDescent="0.25"/>
  <cols>
    <col min="1" max="4" width="9.140625" customWidth="1"/>
    <col min="5" max="5" width="13" customWidth="1"/>
    <col min="6" max="9" width="9.140625" customWidth="1"/>
    <col min="10" max="16384" width="9.140625" hidden="1"/>
  </cols>
  <sheetData>
    <row r="1" spans="5:5" x14ac:dyDescent="0.25"/>
    <row r="2" spans="5:5" x14ac:dyDescent="0.25"/>
    <row r="3" spans="5:5" x14ac:dyDescent="0.25"/>
    <row r="4" spans="5:5" x14ac:dyDescent="0.25"/>
    <row r="5" spans="5:5" x14ac:dyDescent="0.25"/>
    <row r="6" spans="5:5" x14ac:dyDescent="0.25"/>
    <row r="7" spans="5:5" x14ac:dyDescent="0.25"/>
    <row r="8" spans="5:5" x14ac:dyDescent="0.25"/>
    <row r="9" spans="5:5" x14ac:dyDescent="0.25"/>
    <row r="10" spans="5:5" x14ac:dyDescent="0.25"/>
    <row r="11" spans="5:5" x14ac:dyDescent="0.25"/>
    <row r="12" spans="5:5" x14ac:dyDescent="0.25"/>
    <row r="13" spans="5:5" x14ac:dyDescent="0.25">
      <c r="E13" s="19" t="s">
        <v>37</v>
      </c>
    </row>
    <row r="14" spans="5:5" x14ac:dyDescent="0.25"/>
    <row r="15" spans="5:5" x14ac:dyDescent="0.25">
      <c r="E15" s="20">
        <v>44156</v>
      </c>
    </row>
    <row r="16" spans="5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</sheetData>
  <dataValidations count="1">
    <dataValidation type="date" allowBlank="1" showInputMessage="1" showErrorMessage="1" sqref="E15" xr:uid="{00000000-0002-0000-0000-000000000000}">
      <formula1>42005</formula1>
      <formula2>55153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2"/>
  <sheetViews>
    <sheetView workbookViewId="0">
      <selection activeCell="B15" sqref="B15"/>
    </sheetView>
  </sheetViews>
  <sheetFormatPr defaultRowHeight="15" customHeight="1" x14ac:dyDescent="0.2"/>
  <cols>
    <col min="1" max="1" width="12.85546875" style="1" bestFit="1" customWidth="1"/>
    <col min="2" max="2" width="11.5703125" style="1" customWidth="1"/>
    <col min="3" max="3" width="11.28515625" style="1" bestFit="1" customWidth="1"/>
    <col min="4" max="4" width="16.85546875" style="2" hidden="1" customWidth="1"/>
    <col min="5" max="5" width="10.42578125" style="2" bestFit="1" customWidth="1"/>
    <col min="6" max="6" width="9" style="1" bestFit="1" customWidth="1"/>
    <col min="7" max="7" width="29.7109375" style="1" bestFit="1" customWidth="1"/>
    <col min="8" max="9" width="5.42578125" style="4" bestFit="1" customWidth="1"/>
    <col min="10" max="10" width="4.85546875" style="1" customWidth="1"/>
    <col min="11" max="11" width="5.5703125" style="1" customWidth="1"/>
    <col min="12" max="12" width="5.85546875" style="1" customWidth="1"/>
    <col min="13" max="13" width="6.7109375" style="1" customWidth="1"/>
    <col min="14" max="17" width="9.140625" style="1" hidden="1" customWidth="1"/>
    <col min="18" max="18" width="7.140625" style="1" customWidth="1"/>
    <col min="19" max="19" width="10.28515625" style="1" bestFit="1" customWidth="1"/>
    <col min="20" max="20" width="6.85546875" style="1" customWidth="1"/>
    <col min="21" max="16384" width="9.140625" style="1"/>
  </cols>
  <sheetData>
    <row r="1" spans="1:20" ht="15" customHeight="1" x14ac:dyDescent="0.2">
      <c r="A1" s="1" t="s">
        <v>0</v>
      </c>
      <c r="B1" s="1" t="s">
        <v>1</v>
      </c>
      <c r="C1" s="1" t="s">
        <v>2</v>
      </c>
      <c r="D1" s="3" t="s">
        <v>3</v>
      </c>
      <c r="E1" s="3" t="s">
        <v>4</v>
      </c>
      <c r="F1" s="1" t="s">
        <v>5</v>
      </c>
      <c r="G1" s="1" t="s">
        <v>6</v>
      </c>
      <c r="H1" s="4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5" t="s">
        <v>19</v>
      </c>
      <c r="S1" s="1" t="s">
        <v>17</v>
      </c>
      <c r="T1" s="1" t="s">
        <v>18</v>
      </c>
    </row>
    <row r="2" spans="1:20" ht="14.25" customHeight="1" x14ac:dyDescent="0.2">
      <c r="A2" s="12"/>
      <c r="B2" s="12"/>
      <c r="C2" s="12"/>
      <c r="D2" s="13"/>
      <c r="E2" s="14">
        <f>IF(OR(OR(TIME(N2,O2,0)&gt;TIME(P2,Q2,0),AND(0&lt;P2,P2&lt;4),AND(0&lt;N2,N2&lt;4)),Contractors[code]="x"),D2-1,D2)</f>
        <v>0</v>
      </c>
      <c r="G2" s="12"/>
      <c r="H2" s="15">
        <f>IF(SUM(Contractors[[#This Row],[start_hour]:[end_minute]])&lt;&gt;0,IF((TIME(N2,O2,0)-TIME(4,0,0))&gt;0,TIME(N2,O2,0)-TIME(4,0,0),TIME(24-ABS(N2-4),O2,0)),0)</f>
        <v>0</v>
      </c>
      <c r="I2" s="15">
        <f>IF(SUM(Contractors[[#This Row],[start_hour]:[end_minute]])&lt;&gt;0,IF((TIME(P2,Q2,0)-TIME(4,0,0))&gt;0,TIME(P2,Q2,0)-TIME(4,0,0),TIME(24-ABS(P2-4),Q2,0)),0)</f>
        <v>0</v>
      </c>
      <c r="J2" s="12"/>
      <c r="K2" s="12"/>
      <c r="L2" s="12"/>
      <c r="M2" s="12"/>
      <c r="N2" s="12"/>
      <c r="O2" s="12"/>
      <c r="P2" s="12"/>
      <c r="Q2" s="12"/>
      <c r="R2" s="9"/>
      <c r="S2" s="16">
        <f>IFERROR(Contractors[hr2]/24 + TIME(0,Contractors[mn2],0),0)</f>
        <v>0</v>
      </c>
      <c r="T2" s="17"/>
    </row>
  </sheetData>
  <conditionalFormatting sqref="S2 F2:G2">
    <cfRule type="expression" dxfId="22" priority="2">
      <formula>$T2="e"</formula>
    </cfRule>
    <cfRule type="expression" dxfId="21" priority="3">
      <formula>$T2="m"</formula>
    </cfRule>
    <cfRule type="expression" dxfId="20" priority="4">
      <formula>$T2="a"</formula>
    </cfRule>
    <cfRule type="expression" dxfId="19" priority="5">
      <formula>OR($G2="SHOP",$G2="TRAINING",$G2="HANGAR CLEAN",$G2="LINE")</formula>
    </cfRule>
    <cfRule type="expression" dxfId="18" priority="6">
      <formula>OR("SHOP"=VLOOKUP($F2,wo_lookup,2,0),"LINE"=VLOOKUP($F2,wo_lookup,2,0))</formula>
    </cfRule>
  </conditionalFormatting>
  <conditionalFormatting sqref="S2">
    <cfRule type="expression" dxfId="17" priority="10">
      <formula>AND(J2=L2,K2=M2)</formula>
    </cfRule>
    <cfRule type="expression" dxfId="16" priority="11">
      <formula>$R2="a"</formula>
    </cfRule>
  </conditionalFormatting>
  <conditionalFormatting sqref="E2">
    <cfRule type="expression" dxfId="15" priority="1">
      <formula>D2&lt;&gt;E2</formula>
    </cfRule>
  </conditionalFormatting>
  <dataValidations count="2">
    <dataValidation type="list" allowBlank="1" showDropDown="1" showInputMessage="1" showErrorMessage="1" sqref="R2" xr:uid="{00000000-0002-0000-0100-000000000000}">
      <formula1>"a,q"</formula1>
    </dataValidation>
    <dataValidation type="list" allowBlank="1" showInputMessage="1" showErrorMessage="1" sqref="T2" xr:uid="{00000000-0002-0000-0100-000001000000}">
      <formula1>"a,e,m,x"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2"/>
  <sheetViews>
    <sheetView workbookViewId="0">
      <selection activeCell="R2" sqref="R2"/>
    </sheetView>
  </sheetViews>
  <sheetFormatPr defaultRowHeight="15" x14ac:dyDescent="0.25"/>
  <cols>
    <col min="4" max="4" width="16.85546875" hidden="1" customWidth="1"/>
    <col min="5" max="5" width="10.42578125" bestFit="1" customWidth="1"/>
    <col min="8" max="9" width="5.42578125" bestFit="1" customWidth="1"/>
    <col min="10" max="10" width="5" bestFit="1" customWidth="1"/>
    <col min="11" max="11" width="5.7109375" bestFit="1" customWidth="1"/>
    <col min="12" max="12" width="6" bestFit="1" customWidth="1"/>
    <col min="13" max="13" width="6.7109375" bestFit="1" customWidth="1"/>
    <col min="14" max="17" width="9.140625" hidden="1" customWidth="1"/>
    <col min="18" max="18" width="7.140625" bestFit="1" customWidth="1"/>
    <col min="20" max="20" width="7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3" t="s">
        <v>3</v>
      </c>
      <c r="E1" s="3" t="s">
        <v>4</v>
      </c>
      <c r="F1" s="1" t="s">
        <v>5</v>
      </c>
      <c r="G1" s="1" t="s">
        <v>6</v>
      </c>
      <c r="H1" s="4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5" t="s">
        <v>19</v>
      </c>
      <c r="S1" s="1" t="s">
        <v>17</v>
      </c>
      <c r="T1" s="1" t="s">
        <v>18</v>
      </c>
    </row>
    <row r="2" spans="1:20" x14ac:dyDescent="0.25">
      <c r="A2" s="1"/>
      <c r="B2" s="1"/>
      <c r="C2" s="1"/>
      <c r="D2" s="18"/>
      <c r="E2" s="7">
        <f>IF(OR(OR(TIME(N2,O2,0)&gt;TIME(P2,Q2,0),AND(0&lt;P2,P2&lt;4),AND(0&lt;N2,N2&lt;4)),Employees[code]="x"),D2-1,D2)</f>
        <v>0</v>
      </c>
      <c r="F2" s="1"/>
      <c r="G2" s="1"/>
      <c r="H2" s="15">
        <f>IF(SUM(Employees[[#This Row],[start_hour]:[end_minute]])&lt;&gt;0,IF((TIME(N2,O2,0)-TIME(4,0,0))&gt;0,TIME(N2,O2,0)-TIME(4,0,0),TIME(24-ABS(N2-4),O2,0)),0)</f>
        <v>0</v>
      </c>
      <c r="I2" s="15">
        <f>IF(SUM(Employees[[#This Row],[start_hour]:[end_minute]])&lt;&gt;0,IF((TIME(P2,Q2,0)-TIME(4,0,0))&gt;0,TIME(P2,Q2,0)-TIME(4,0,0),TIME(24-ABS(P2-4),Q2,0)),0)</f>
        <v>0</v>
      </c>
      <c r="J2" s="1"/>
      <c r="K2" s="1"/>
      <c r="L2" s="6"/>
      <c r="M2" s="6"/>
      <c r="N2" s="1"/>
      <c r="O2" s="1"/>
      <c r="P2" s="1"/>
      <c r="Q2" s="1"/>
      <c r="R2" s="9"/>
      <c r="S2" s="11">
        <f>IFERROR(Employees[hr2]/24 + TIME(0,Employees[mn2],0),0)</f>
        <v>0</v>
      </c>
      <c r="T2" s="8"/>
    </row>
  </sheetData>
  <dataConsolidate/>
  <conditionalFormatting sqref="E2">
    <cfRule type="expression" dxfId="14" priority="9">
      <formula>D2&lt;&gt;E2</formula>
    </cfRule>
  </conditionalFormatting>
  <conditionalFormatting sqref="S2 F2:G2">
    <cfRule type="expression" dxfId="13" priority="2">
      <formula>$T2="e"</formula>
    </cfRule>
    <cfRule type="expression" dxfId="12" priority="3">
      <formula>$T2="m"</formula>
    </cfRule>
    <cfRule type="expression" dxfId="11" priority="4">
      <formula>$T2="a"</formula>
    </cfRule>
    <cfRule type="expression" dxfId="10" priority="5">
      <formula>OR($G2="SHOP",$G2="TRAINING",$G2="HANGAR CLEAN",$G2="LINE")</formula>
    </cfRule>
    <cfRule type="expression" dxfId="9" priority="6">
      <formula>OR("SHOP"=VLOOKUP($F2,wo_lookup,2,0),"LINE"=VLOOKUP($F2,wo_lookup,2,0))</formula>
    </cfRule>
  </conditionalFormatting>
  <conditionalFormatting sqref="S2">
    <cfRule type="expression" dxfId="8" priority="10">
      <formula>AND(J2=L2,K2=M2)</formula>
    </cfRule>
    <cfRule type="expression" dxfId="7" priority="11">
      <formula>$R2="a"</formula>
    </cfRule>
  </conditionalFormatting>
  <conditionalFormatting sqref="A2:C2">
    <cfRule type="expression" dxfId="6" priority="1">
      <formula>VLOOKUP($C2,emp_lookup,2,0)&lt;&gt;""</formula>
    </cfRule>
  </conditionalFormatting>
  <dataValidations count="2">
    <dataValidation type="list" allowBlank="1" showDropDown="1" showInputMessage="1" showErrorMessage="1" sqref="R2" xr:uid="{00000000-0002-0000-0200-000000000000}">
      <formula1>"a,q"</formula1>
    </dataValidation>
    <dataValidation type="list" allowBlank="1" showInputMessage="1" showErrorMessage="1" sqref="T2" xr:uid="{00000000-0002-0000-0200-000001000000}">
      <formula1>"a,e,m,x"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20"/>
  <sheetViews>
    <sheetView workbookViewId="0">
      <selection activeCell="C215" sqref="C215"/>
    </sheetView>
  </sheetViews>
  <sheetFormatPr defaultRowHeight="15" x14ac:dyDescent="0.25"/>
  <cols>
    <col min="1" max="1" width="11.28515625" customWidth="1"/>
    <col min="2" max="2" width="11.5703125" customWidth="1"/>
    <col min="3" max="3" width="11.28515625" bestFit="1" customWidth="1"/>
    <col min="5" max="5" width="10.28515625" hidden="1" customWidth="1"/>
    <col min="6" max="6" width="10.42578125" bestFit="1" customWidth="1"/>
    <col min="7" max="8" width="5.42578125" bestFit="1" customWidth="1"/>
    <col min="9" max="9" width="8.7109375" style="25" customWidth="1"/>
    <col min="10" max="10" width="8.5703125" style="25" customWidth="1"/>
    <col min="11" max="11" width="8.28515625" style="25" customWidth="1"/>
    <col min="12" max="12" width="9.28515625" style="25" customWidth="1"/>
    <col min="13" max="13" width="9.140625" style="25" customWidth="1"/>
    <col min="14" max="14" width="7.7109375" style="25" customWidth="1"/>
  </cols>
  <sheetData>
    <row r="1" spans="1:14" ht="25.5" x14ac:dyDescent="0.25">
      <c r="A1" s="21" t="s">
        <v>0</v>
      </c>
      <c r="B1" s="21" t="s">
        <v>1</v>
      </c>
      <c r="C1" s="21" t="s">
        <v>2</v>
      </c>
      <c r="D1" s="21" t="s">
        <v>20</v>
      </c>
      <c r="E1" s="21" t="s">
        <v>21</v>
      </c>
      <c r="F1" s="22" t="s">
        <v>4</v>
      </c>
      <c r="G1" s="23" t="s">
        <v>7</v>
      </c>
      <c r="H1" s="23" t="s">
        <v>22</v>
      </c>
      <c r="I1" s="24" t="s">
        <v>23</v>
      </c>
      <c r="J1" s="24" t="s">
        <v>24</v>
      </c>
      <c r="K1" s="24" t="s">
        <v>25</v>
      </c>
      <c r="L1" s="24" t="s">
        <v>26</v>
      </c>
      <c r="M1" s="24" t="s">
        <v>27</v>
      </c>
      <c r="N1" s="24" t="s">
        <v>28</v>
      </c>
    </row>
    <row r="2" spans="1:14" x14ac:dyDescent="0.25">
      <c r="A2" s="12" t="s">
        <v>40</v>
      </c>
      <c r="B2" s="12" t="s">
        <v>44</v>
      </c>
      <c r="C2" s="6" t="s">
        <v>45</v>
      </c>
      <c r="D2" s="1" t="str">
        <f>IF(NOT(ISBLANK(Hours[[#This Row],[employee]])),IF(ISNUMBER(Hours[[#This Row],[employee]]),"REG","CON"),"")</f>
        <v>CON</v>
      </c>
      <c r="E2" s="1" t="str">
        <f>IF(Hours[[#This Row],[cat]]="CON","Contractors",IF(Hours[[#This Row],[cat]]="REG","Employees",""))</f>
        <v>Contractors</v>
      </c>
      <c r="F2" s="3">
        <v>44161</v>
      </c>
      <c r="G2" s="10">
        <v>0.26319444444444445</v>
      </c>
      <c r="H2" s="10">
        <v>0.66875000000000007</v>
      </c>
      <c r="I2" s="4">
        <f>IF(H2&lt;G2,24+H2-G2,H2-G2)</f>
        <v>0.40555555555555561</v>
      </c>
      <c r="J2" s="11">
        <v>0.375</v>
      </c>
      <c r="K2" s="11">
        <f ca="1">IFERROR(SUMIFS(INDIRECT(Hours[[#This Row],[table]]&amp;"[real time]"),INDIRECT(Hours[[#This Row],[table]]&amp;"[employee]"),C2,INDIRECT(Hours[[#This Row],[table]]&amp;"[date]"),F2),"")</f>
        <v>0</v>
      </c>
      <c r="L2" s="11">
        <f ca="1">IFERROR(SUM(SUMIFS(INDIRECT(Hours[[#This Row],[table]]&amp;"[real time]"),INDIRECT(Hours[[#This Row],[table]]&amp;"[employee]"),C2,INDIRECT(Hours[[#This Row],[table]]&amp;"[date]"),F2,INDIRECT(Hours[[#This Row],[table]]&amp;"[code]"),{"a","x",""})),"")</f>
        <v>0</v>
      </c>
      <c r="M2" s="11">
        <f ca="1">IFERROR(SUMIFS(INDIRECT(Hours[[#This Row],[table]]&amp;"[real time]"),INDIRECT(Hours[[#This Row],[table]]&amp;"[employee]"),C2,INDIRECT(Hours[[#This Row],[table]]&amp;"[date]"),F2,INDIRECT(Hours[[#This Row],[table]]&amp;"[code]"),"m"),"")</f>
        <v>0</v>
      </c>
      <c r="N2" s="11">
        <f ca="1">IFERROR(SUMIFS(INDIRECT(Hours[[#This Row],[table]]&amp;"[real time]"),INDIRECT(Hours[[#This Row],[table]]&amp;"[employee]"),C2,INDIRECT(Hours[[#This Row],[table]]&amp;"[date]"),F2,INDIRECT(Hours[[#This Row],[table]]&amp;"[code]"),"e"),"")</f>
        <v>0</v>
      </c>
    </row>
    <row r="3" spans="1:14" x14ac:dyDescent="0.25">
      <c r="A3" s="12" t="s">
        <v>40</v>
      </c>
      <c r="B3" s="12" t="s">
        <v>44</v>
      </c>
      <c r="C3" s="6" t="s">
        <v>45</v>
      </c>
      <c r="D3" s="32" t="str">
        <f>IF(NOT(ISBLANK(Hours[[#This Row],[employee]])),IF(ISNUMBER(Hours[[#This Row],[employee]]),"REG","CON"),"")</f>
        <v>CON</v>
      </c>
      <c r="E3" s="32" t="str">
        <f>IF(Hours[[#This Row],[cat]]="CON","Contractors",IF(Hours[[#This Row],[cat]]="REG","Employees",""))</f>
        <v>Contractors</v>
      </c>
      <c r="F3" s="34">
        <v>44162</v>
      </c>
      <c r="G3" s="35">
        <v>0.26527777777777778</v>
      </c>
      <c r="H3" s="35">
        <v>0.67499999999999993</v>
      </c>
      <c r="I3" s="29">
        <f>IF(H3&lt;G3,24+H3-G3,H3-G3)</f>
        <v>0.40972222222222215</v>
      </c>
      <c r="J3" s="36">
        <v>0.375</v>
      </c>
      <c r="K3" s="36">
        <f ca="1">IFERROR(SUMIFS(INDIRECT(Hours[[#This Row],[table]]&amp;"[real time]"),INDIRECT(Hours[[#This Row],[table]]&amp;"[employee]"),C3,INDIRECT(Hours[[#This Row],[table]]&amp;"[date]"),F3),"")</f>
        <v>0</v>
      </c>
      <c r="L3" s="36">
        <f ca="1">IFERROR(SUM(SUMIFS(INDIRECT(Hours[[#This Row],[table]]&amp;"[real time]"),INDIRECT(Hours[[#This Row],[table]]&amp;"[employee]"),C3,INDIRECT(Hours[[#This Row],[table]]&amp;"[date]"),F3,INDIRECT(Hours[[#This Row],[table]]&amp;"[code]"),{"a","x",""})),"")</f>
        <v>0</v>
      </c>
      <c r="M3" s="36">
        <f ca="1">IFERROR(SUMIFS(INDIRECT(Hours[[#This Row],[table]]&amp;"[real time]"),INDIRECT(Hours[[#This Row],[table]]&amp;"[employee]"),C3,INDIRECT(Hours[[#This Row],[table]]&amp;"[date]"),F3,INDIRECT(Hours[[#This Row],[table]]&amp;"[code]"),"m"),"")</f>
        <v>0</v>
      </c>
      <c r="N3" s="36">
        <f ca="1">IFERROR(SUMIFS(INDIRECT(Hours[[#This Row],[table]]&amp;"[real time]"),INDIRECT(Hours[[#This Row],[table]]&amp;"[employee]"),C3,INDIRECT(Hours[[#This Row],[table]]&amp;"[date]"),F3,INDIRECT(Hours[[#This Row],[table]]&amp;"[code]"),"e"),"")</f>
        <v>0</v>
      </c>
    </row>
    <row r="4" spans="1:14" x14ac:dyDescent="0.25">
      <c r="A4" s="12" t="s">
        <v>40</v>
      </c>
      <c r="B4" s="12" t="s">
        <v>44</v>
      </c>
      <c r="C4" s="6" t="s">
        <v>45</v>
      </c>
      <c r="D4" s="32" t="str">
        <f>IF(NOT(ISBLANK(Hours[[#This Row],[employee]])),IF(ISNUMBER(Hours[[#This Row],[employee]]),"REG","CON"),"")</f>
        <v>CON</v>
      </c>
      <c r="E4" s="32" t="str">
        <f>IF(Hours[[#This Row],[cat]]="CON","Contractors",IF(Hours[[#This Row],[cat]]="REG","Employees",""))</f>
        <v>Contractors</v>
      </c>
      <c r="F4" s="34">
        <v>44163</v>
      </c>
      <c r="G4" s="35">
        <v>0.26319444444444445</v>
      </c>
      <c r="H4" s="35">
        <v>0.50624999999999998</v>
      </c>
      <c r="I4" s="29">
        <f>IF(H4&lt;G4,24+H4-G4,H4-G4)</f>
        <v>0.24305555555555552</v>
      </c>
      <c r="J4" s="36">
        <v>0.22916666666666666</v>
      </c>
      <c r="K4" s="36">
        <f ca="1">IFERROR(SUMIFS(INDIRECT(Hours[[#This Row],[table]]&amp;"[real time]"),INDIRECT(Hours[[#This Row],[table]]&amp;"[employee]"),C4,INDIRECT(Hours[[#This Row],[table]]&amp;"[date]"),F4),"")</f>
        <v>0</v>
      </c>
      <c r="L4" s="36">
        <f ca="1">IFERROR(SUM(SUMIFS(INDIRECT(Hours[[#This Row],[table]]&amp;"[real time]"),INDIRECT(Hours[[#This Row],[table]]&amp;"[employee]"),C4,INDIRECT(Hours[[#This Row],[table]]&amp;"[date]"),F4,INDIRECT(Hours[[#This Row],[table]]&amp;"[code]"),{"a","x",""})),"")</f>
        <v>0</v>
      </c>
      <c r="M4" s="36">
        <f ca="1">IFERROR(SUMIFS(INDIRECT(Hours[[#This Row],[table]]&amp;"[real time]"),INDIRECT(Hours[[#This Row],[table]]&amp;"[employee]"),C4,INDIRECT(Hours[[#This Row],[table]]&amp;"[date]"),F4,INDIRECT(Hours[[#This Row],[table]]&amp;"[code]"),"m"),"")</f>
        <v>0</v>
      </c>
      <c r="N4" s="36">
        <f ca="1">IFERROR(SUMIFS(INDIRECT(Hours[[#This Row],[table]]&amp;"[real time]"),INDIRECT(Hours[[#This Row],[table]]&amp;"[employee]"),C4,INDIRECT(Hours[[#This Row],[table]]&amp;"[date]"),F4,INDIRECT(Hours[[#This Row],[table]]&amp;"[code]"),"e"),"")</f>
        <v>0</v>
      </c>
    </row>
    <row r="5" spans="1:14" x14ac:dyDescent="0.25">
      <c r="A5" s="12" t="s">
        <v>40</v>
      </c>
      <c r="B5" s="12" t="s">
        <v>44</v>
      </c>
      <c r="C5" s="6" t="s">
        <v>45</v>
      </c>
      <c r="D5" s="32" t="str">
        <f>IF(NOT(ISBLANK(Hours[[#This Row],[employee]])),IF(ISNUMBER(Hours[[#This Row],[employee]]),"REG","CON"),"")</f>
        <v>CON</v>
      </c>
      <c r="E5" s="32" t="str">
        <f>IF(Hours[[#This Row],[cat]]="CON","Contractors",IF(Hours[[#This Row],[cat]]="REG","Employees",""))</f>
        <v>Contractors</v>
      </c>
      <c r="F5" s="34">
        <v>44165</v>
      </c>
      <c r="G5" s="35">
        <v>0.26666666666666666</v>
      </c>
      <c r="H5" s="35">
        <v>0.6694444444444444</v>
      </c>
      <c r="I5" s="29">
        <f>IF(H5&lt;G5,24+H5-G5,H5-G5)</f>
        <v>0.40277777777777773</v>
      </c>
      <c r="J5" s="36">
        <v>0.375</v>
      </c>
      <c r="K5" s="36">
        <f ca="1">IFERROR(SUMIFS(INDIRECT(Hours[[#This Row],[table]]&amp;"[real time]"),INDIRECT(Hours[[#This Row],[table]]&amp;"[employee]"),C5,INDIRECT(Hours[[#This Row],[table]]&amp;"[date]"),F5),"")</f>
        <v>0</v>
      </c>
      <c r="L5" s="36">
        <f ca="1">IFERROR(SUM(SUMIFS(INDIRECT(Hours[[#This Row],[table]]&amp;"[real time]"),INDIRECT(Hours[[#This Row],[table]]&amp;"[employee]"),C5,INDIRECT(Hours[[#This Row],[table]]&amp;"[date]"),F5,INDIRECT(Hours[[#This Row],[table]]&amp;"[code]"),{"a","x",""})),"")</f>
        <v>0</v>
      </c>
      <c r="M5" s="36">
        <f ca="1">IFERROR(SUMIFS(INDIRECT(Hours[[#This Row],[table]]&amp;"[real time]"),INDIRECT(Hours[[#This Row],[table]]&amp;"[employee]"),C5,INDIRECT(Hours[[#This Row],[table]]&amp;"[date]"),F5,INDIRECT(Hours[[#This Row],[table]]&amp;"[code]"),"m"),"")</f>
        <v>0</v>
      </c>
      <c r="N5" s="36">
        <f ca="1">IFERROR(SUMIFS(INDIRECT(Hours[[#This Row],[table]]&amp;"[real time]"),INDIRECT(Hours[[#This Row],[table]]&amp;"[employee]"),C5,INDIRECT(Hours[[#This Row],[table]]&amp;"[date]"),F5,INDIRECT(Hours[[#This Row],[table]]&amp;"[code]"),"e"),"")</f>
        <v>0</v>
      </c>
    </row>
    <row r="6" spans="1:14" x14ac:dyDescent="0.25">
      <c r="A6" s="12" t="s">
        <v>40</v>
      </c>
      <c r="B6" s="12" t="s">
        <v>44</v>
      </c>
      <c r="C6" s="6" t="s">
        <v>45</v>
      </c>
      <c r="D6" s="32" t="str">
        <f>IF(NOT(ISBLANK(Hours[[#This Row],[employee]])),IF(ISNUMBER(Hours[[#This Row],[employee]]),"REG","CON"),"")</f>
        <v>CON</v>
      </c>
      <c r="E6" s="32" t="str">
        <f>IF(Hours[[#This Row],[cat]]="CON","Contractors",IF(Hours[[#This Row],[cat]]="REG","Employees",""))</f>
        <v>Contractors</v>
      </c>
      <c r="F6" s="34">
        <v>44166</v>
      </c>
      <c r="G6" s="35">
        <v>0.26319444444444445</v>
      </c>
      <c r="H6" s="35">
        <v>0.66666666666666663</v>
      </c>
      <c r="I6" s="29">
        <f>IF(H6&lt;G6,24+H6-G6,H6-G6)</f>
        <v>0.40347222222222218</v>
      </c>
      <c r="J6" s="36">
        <v>0.375</v>
      </c>
      <c r="K6" s="36">
        <f ca="1">IFERROR(SUMIFS(INDIRECT(Hours[[#This Row],[table]]&amp;"[real time]"),INDIRECT(Hours[[#This Row],[table]]&amp;"[employee]"),C6,INDIRECT(Hours[[#This Row],[table]]&amp;"[date]"),F6),"")</f>
        <v>0</v>
      </c>
      <c r="L6" s="36">
        <f ca="1">IFERROR(SUM(SUMIFS(INDIRECT(Hours[[#This Row],[table]]&amp;"[real time]"),INDIRECT(Hours[[#This Row],[table]]&amp;"[employee]"),C6,INDIRECT(Hours[[#This Row],[table]]&amp;"[date]"),F6,INDIRECT(Hours[[#This Row],[table]]&amp;"[code]"),{"a","x",""})),"")</f>
        <v>0</v>
      </c>
      <c r="M6" s="36">
        <f ca="1">IFERROR(SUMIFS(INDIRECT(Hours[[#This Row],[table]]&amp;"[real time]"),INDIRECT(Hours[[#This Row],[table]]&amp;"[employee]"),C6,INDIRECT(Hours[[#This Row],[table]]&amp;"[date]"),F6,INDIRECT(Hours[[#This Row],[table]]&amp;"[code]"),"m"),"")</f>
        <v>0</v>
      </c>
      <c r="N6" s="36">
        <f ca="1">IFERROR(SUMIFS(INDIRECT(Hours[[#This Row],[table]]&amp;"[real time]"),INDIRECT(Hours[[#This Row],[table]]&amp;"[employee]"),C6,INDIRECT(Hours[[#This Row],[table]]&amp;"[date]"),F6,INDIRECT(Hours[[#This Row],[table]]&amp;"[code]"),"e"),"")</f>
        <v>0</v>
      </c>
    </row>
    <row r="7" spans="1:14" x14ac:dyDescent="0.25">
      <c r="A7" s="12" t="s">
        <v>40</v>
      </c>
      <c r="B7" s="12" t="s">
        <v>44</v>
      </c>
      <c r="C7" s="6" t="s">
        <v>45</v>
      </c>
      <c r="D7" s="32" t="str">
        <f>IF(NOT(ISBLANK(Hours[[#This Row],[employee]])),IF(ISNUMBER(Hours[[#This Row],[employee]]),"REG","CON"),"")</f>
        <v>CON</v>
      </c>
      <c r="E7" s="32" t="str">
        <f>IF(Hours[[#This Row],[cat]]="CON","Contractors",IF(Hours[[#This Row],[cat]]="REG","Employees",""))</f>
        <v>Contractors</v>
      </c>
      <c r="F7" s="34">
        <v>44167</v>
      </c>
      <c r="G7" s="35">
        <v>0.26666666666666666</v>
      </c>
      <c r="H7" s="35">
        <v>0.66597222222222219</v>
      </c>
      <c r="I7" s="29">
        <f>IF(H7&lt;G7,24+H7-G7,H7-G7)</f>
        <v>0.39930555555555552</v>
      </c>
      <c r="J7" s="36">
        <v>0.375</v>
      </c>
      <c r="K7" s="36">
        <f ca="1">IFERROR(SUMIFS(INDIRECT(Hours[[#This Row],[table]]&amp;"[real time]"),INDIRECT(Hours[[#This Row],[table]]&amp;"[employee]"),C7,INDIRECT(Hours[[#This Row],[table]]&amp;"[date]"),F7),"")</f>
        <v>0</v>
      </c>
      <c r="L7" s="36">
        <f ca="1">IFERROR(SUM(SUMIFS(INDIRECT(Hours[[#This Row],[table]]&amp;"[real time]"),INDIRECT(Hours[[#This Row],[table]]&amp;"[employee]"),C7,INDIRECT(Hours[[#This Row],[table]]&amp;"[date]"),F7,INDIRECT(Hours[[#This Row],[table]]&amp;"[code]"),{"a","x",""})),"")</f>
        <v>0</v>
      </c>
      <c r="M7" s="36">
        <f ca="1">IFERROR(SUMIFS(INDIRECT(Hours[[#This Row],[table]]&amp;"[real time]"),INDIRECT(Hours[[#This Row],[table]]&amp;"[employee]"),C7,INDIRECT(Hours[[#This Row],[table]]&amp;"[date]"),F7,INDIRECT(Hours[[#This Row],[table]]&amp;"[code]"),"m"),"")</f>
        <v>0</v>
      </c>
      <c r="N7" s="36">
        <f ca="1">IFERROR(SUMIFS(INDIRECT(Hours[[#This Row],[table]]&amp;"[real time]"),INDIRECT(Hours[[#This Row],[table]]&amp;"[employee]"),C7,INDIRECT(Hours[[#This Row],[table]]&amp;"[date]"),F7,INDIRECT(Hours[[#This Row],[table]]&amp;"[code]"),"e"),"")</f>
        <v>0</v>
      </c>
    </row>
    <row r="8" spans="1:14" x14ac:dyDescent="0.25">
      <c r="A8" s="12" t="s">
        <v>40</v>
      </c>
      <c r="B8" s="12" t="s">
        <v>44</v>
      </c>
      <c r="C8" s="6" t="s">
        <v>45</v>
      </c>
      <c r="D8" s="32" t="str">
        <f>IF(NOT(ISBLANK(Hours[[#This Row],[employee]])),IF(ISNUMBER(Hours[[#This Row],[employee]]),"REG","CON"),"")</f>
        <v>CON</v>
      </c>
      <c r="E8" s="32" t="str">
        <f>IF(Hours[[#This Row],[cat]]="CON","Contractors",IF(Hours[[#This Row],[cat]]="REG","Employees",""))</f>
        <v>Contractors</v>
      </c>
      <c r="F8" s="34">
        <v>44168</v>
      </c>
      <c r="G8" s="35">
        <v>0.26458333333333334</v>
      </c>
      <c r="H8" s="35">
        <v>0.66666666666666663</v>
      </c>
      <c r="I8" s="29">
        <f>IF(H8&lt;G8,24+H8-G8,H8-G8)</f>
        <v>0.40208333333333329</v>
      </c>
      <c r="J8" s="36">
        <v>0.375</v>
      </c>
      <c r="K8" s="36">
        <f ca="1">IFERROR(SUMIFS(INDIRECT(Hours[[#This Row],[table]]&amp;"[real time]"),INDIRECT(Hours[[#This Row],[table]]&amp;"[employee]"),C8,INDIRECT(Hours[[#This Row],[table]]&amp;"[date]"),F8),"")</f>
        <v>0</v>
      </c>
      <c r="L8" s="36">
        <f ca="1">IFERROR(SUM(SUMIFS(INDIRECT(Hours[[#This Row],[table]]&amp;"[real time]"),INDIRECT(Hours[[#This Row],[table]]&amp;"[employee]"),C8,INDIRECT(Hours[[#This Row],[table]]&amp;"[date]"),F8,INDIRECT(Hours[[#This Row],[table]]&amp;"[code]"),{"a","x",""})),"")</f>
        <v>0</v>
      </c>
      <c r="M8" s="36">
        <f ca="1">IFERROR(SUMIFS(INDIRECT(Hours[[#This Row],[table]]&amp;"[real time]"),INDIRECT(Hours[[#This Row],[table]]&amp;"[employee]"),C8,INDIRECT(Hours[[#This Row],[table]]&amp;"[date]"),F8,INDIRECT(Hours[[#This Row],[table]]&amp;"[code]"),"m"),"")</f>
        <v>0</v>
      </c>
      <c r="N8" s="36">
        <f ca="1">IFERROR(SUMIFS(INDIRECT(Hours[[#This Row],[table]]&amp;"[real time]"),INDIRECT(Hours[[#This Row],[table]]&amp;"[employee]"),C8,INDIRECT(Hours[[#This Row],[table]]&amp;"[date]"),F8,INDIRECT(Hours[[#This Row],[table]]&amp;"[code]"),"e"),"")</f>
        <v>0</v>
      </c>
    </row>
    <row r="9" spans="1:14" x14ac:dyDescent="0.25">
      <c r="A9" s="12" t="s">
        <v>40</v>
      </c>
      <c r="B9" s="12" t="s">
        <v>44</v>
      </c>
      <c r="C9" s="6" t="s">
        <v>45</v>
      </c>
      <c r="D9" s="32" t="str">
        <f>IF(NOT(ISBLANK(Hours[[#This Row],[employee]])),IF(ISNUMBER(Hours[[#This Row],[employee]]),"REG","CON"),"")</f>
        <v>CON</v>
      </c>
      <c r="E9" s="32" t="str">
        <f>IF(Hours[[#This Row],[cat]]="CON","Contractors",IF(Hours[[#This Row],[cat]]="REG","Employees",""))</f>
        <v>Contractors</v>
      </c>
      <c r="F9" s="34">
        <v>44169</v>
      </c>
      <c r="G9" s="35">
        <v>0.26666666666666666</v>
      </c>
      <c r="H9" s="35">
        <v>0.66597222222222219</v>
      </c>
      <c r="I9" s="29">
        <f>IF(H9&lt;G9,24+H9-G9,H9-G9)</f>
        <v>0.39930555555555552</v>
      </c>
      <c r="J9" s="36">
        <v>0.375</v>
      </c>
      <c r="K9" s="36">
        <f ca="1">IFERROR(SUMIFS(INDIRECT(Hours[[#This Row],[table]]&amp;"[real time]"),INDIRECT(Hours[[#This Row],[table]]&amp;"[employee]"),C9,INDIRECT(Hours[[#This Row],[table]]&amp;"[date]"),F9),"")</f>
        <v>0</v>
      </c>
      <c r="L9" s="36">
        <f ca="1">IFERROR(SUM(SUMIFS(INDIRECT(Hours[[#This Row],[table]]&amp;"[real time]"),INDIRECT(Hours[[#This Row],[table]]&amp;"[employee]"),C9,INDIRECT(Hours[[#This Row],[table]]&amp;"[date]"),F9,INDIRECT(Hours[[#This Row],[table]]&amp;"[code]"),{"a","x",""})),"")</f>
        <v>0</v>
      </c>
      <c r="M9" s="36">
        <f ca="1">IFERROR(SUMIFS(INDIRECT(Hours[[#This Row],[table]]&amp;"[real time]"),INDIRECT(Hours[[#This Row],[table]]&amp;"[employee]"),C9,INDIRECT(Hours[[#This Row],[table]]&amp;"[date]"),F9,INDIRECT(Hours[[#This Row],[table]]&amp;"[code]"),"m"),"")</f>
        <v>0</v>
      </c>
      <c r="N9" s="36">
        <f ca="1">IFERROR(SUMIFS(INDIRECT(Hours[[#This Row],[table]]&amp;"[real time]"),INDIRECT(Hours[[#This Row],[table]]&amp;"[employee]"),C9,INDIRECT(Hours[[#This Row],[table]]&amp;"[date]"),F9,INDIRECT(Hours[[#This Row],[table]]&amp;"[code]"),"e"),"")</f>
        <v>0</v>
      </c>
    </row>
    <row r="10" spans="1:14" x14ac:dyDescent="0.25">
      <c r="A10" s="28" t="s">
        <v>42</v>
      </c>
      <c r="B10" s="28" t="s">
        <v>46</v>
      </c>
      <c r="C10" s="1" t="s">
        <v>47</v>
      </c>
      <c r="D10" s="32" t="str">
        <f>IF(NOT(ISBLANK(Hours[[#This Row],[employee]])),IF(ISNUMBER(Hours[[#This Row],[employee]]),"REG","CON"),"")</f>
        <v>CON</v>
      </c>
      <c r="E10" s="32" t="str">
        <f>IF(Hours[[#This Row],[cat]]="CON","Contractors",IF(Hours[[#This Row],[cat]]="REG","Employees",""))</f>
        <v>Contractors</v>
      </c>
      <c r="F10" s="34">
        <v>44159</v>
      </c>
      <c r="G10" s="35">
        <v>0.27152777777777776</v>
      </c>
      <c r="H10" s="35">
        <v>0.66666666666666663</v>
      </c>
      <c r="I10" s="29">
        <f>IF(H10&lt;G10,24+H10-G10,H10-G10)</f>
        <v>0.39513888888888887</v>
      </c>
      <c r="J10" s="36">
        <v>0.375</v>
      </c>
      <c r="K10" s="36">
        <f ca="1">IFERROR(SUMIFS(INDIRECT(Hours[[#This Row],[table]]&amp;"[real time]"),INDIRECT(Hours[[#This Row],[table]]&amp;"[employee]"),C10,INDIRECT(Hours[[#This Row],[table]]&amp;"[date]"),F10),"")</f>
        <v>0</v>
      </c>
      <c r="L10" s="36">
        <f ca="1">IFERROR(SUM(SUMIFS(INDIRECT(Hours[[#This Row],[table]]&amp;"[real time]"),INDIRECT(Hours[[#This Row],[table]]&amp;"[employee]"),C10,INDIRECT(Hours[[#This Row],[table]]&amp;"[date]"),F10,INDIRECT(Hours[[#This Row],[table]]&amp;"[code]"),{"a","x",""})),"")</f>
        <v>0</v>
      </c>
      <c r="M10" s="36">
        <f ca="1">IFERROR(SUMIFS(INDIRECT(Hours[[#This Row],[table]]&amp;"[real time]"),INDIRECT(Hours[[#This Row],[table]]&amp;"[employee]"),C10,INDIRECT(Hours[[#This Row],[table]]&amp;"[date]"),F10,INDIRECT(Hours[[#This Row],[table]]&amp;"[code]"),"m"),"")</f>
        <v>0</v>
      </c>
      <c r="N10" s="36">
        <f ca="1">IFERROR(SUMIFS(INDIRECT(Hours[[#This Row],[table]]&amp;"[real time]"),INDIRECT(Hours[[#This Row],[table]]&amp;"[employee]"),C10,INDIRECT(Hours[[#This Row],[table]]&amp;"[date]"),F10,INDIRECT(Hours[[#This Row],[table]]&amp;"[code]"),"e"),"")</f>
        <v>0</v>
      </c>
    </row>
    <row r="11" spans="1:14" x14ac:dyDescent="0.25">
      <c r="A11" s="28" t="s">
        <v>42</v>
      </c>
      <c r="B11" s="28" t="s">
        <v>46</v>
      </c>
      <c r="C11" s="1" t="s">
        <v>47</v>
      </c>
      <c r="D11" s="32" t="str">
        <f>IF(NOT(ISBLANK(Hours[[#This Row],[employee]])),IF(ISNUMBER(Hours[[#This Row],[employee]]),"REG","CON"),"")</f>
        <v>CON</v>
      </c>
      <c r="E11" s="32" t="str">
        <f>IF(Hours[[#This Row],[cat]]="CON","Contractors",IF(Hours[[#This Row],[cat]]="REG","Employees",""))</f>
        <v>Contractors</v>
      </c>
      <c r="F11" s="34">
        <v>44160</v>
      </c>
      <c r="G11" s="35">
        <v>0.68472222222222223</v>
      </c>
      <c r="H11" s="35">
        <v>8.3333333333333329E-2</v>
      </c>
      <c r="I11" s="29">
        <f>IF(H11&lt;G11,24+H11-G11,H11-G11)</f>
        <v>23.398611111111109</v>
      </c>
      <c r="J11" s="36">
        <v>0.375</v>
      </c>
      <c r="K11" s="36">
        <f ca="1">IFERROR(SUMIFS(INDIRECT(Hours[[#This Row],[table]]&amp;"[real time]"),INDIRECT(Hours[[#This Row],[table]]&amp;"[employee]"),C11,INDIRECT(Hours[[#This Row],[table]]&amp;"[date]"),F11),"")</f>
        <v>0</v>
      </c>
      <c r="L11" s="36">
        <f ca="1">IFERROR(SUM(SUMIFS(INDIRECT(Hours[[#This Row],[table]]&amp;"[real time]"),INDIRECT(Hours[[#This Row],[table]]&amp;"[employee]"),C11,INDIRECT(Hours[[#This Row],[table]]&amp;"[date]"),F11,INDIRECT(Hours[[#This Row],[table]]&amp;"[code]"),{"a","x",""})),"")</f>
        <v>0</v>
      </c>
      <c r="M11" s="36">
        <f ca="1">IFERROR(SUMIFS(INDIRECT(Hours[[#This Row],[table]]&amp;"[real time]"),INDIRECT(Hours[[#This Row],[table]]&amp;"[employee]"),C11,INDIRECT(Hours[[#This Row],[table]]&amp;"[date]"),F11,INDIRECT(Hours[[#This Row],[table]]&amp;"[code]"),"m"),"")</f>
        <v>0</v>
      </c>
      <c r="N11" s="36">
        <f ca="1">IFERROR(SUMIFS(INDIRECT(Hours[[#This Row],[table]]&amp;"[real time]"),INDIRECT(Hours[[#This Row],[table]]&amp;"[employee]"),C11,INDIRECT(Hours[[#This Row],[table]]&amp;"[date]"),F11,INDIRECT(Hours[[#This Row],[table]]&amp;"[code]"),"e"),"")</f>
        <v>0</v>
      </c>
    </row>
    <row r="12" spans="1:14" x14ac:dyDescent="0.25">
      <c r="A12" s="28" t="s">
        <v>42</v>
      </c>
      <c r="B12" s="28" t="s">
        <v>46</v>
      </c>
      <c r="C12" s="1" t="s">
        <v>47</v>
      </c>
      <c r="D12" s="32" t="str">
        <f>IF(NOT(ISBLANK(Hours[[#This Row],[employee]])),IF(ISNUMBER(Hours[[#This Row],[employee]]),"REG","CON"),"")</f>
        <v>CON</v>
      </c>
      <c r="E12" s="32" t="str">
        <f>IF(Hours[[#This Row],[cat]]="CON","Contractors",IF(Hours[[#This Row],[cat]]="REG","Employees",""))</f>
        <v>Contractors</v>
      </c>
      <c r="F12" s="34">
        <v>44161</v>
      </c>
      <c r="G12" s="35">
        <v>0.68263888888888891</v>
      </c>
      <c r="H12" s="35">
        <v>8.3333333333333329E-2</v>
      </c>
      <c r="I12" s="29">
        <f>IF(H12&lt;G12,24+H12-G12,H12-G12)</f>
        <v>23.400694444444444</v>
      </c>
      <c r="J12" s="36">
        <v>0.375</v>
      </c>
      <c r="K12" s="36">
        <f ca="1">IFERROR(SUMIFS(INDIRECT(Hours[[#This Row],[table]]&amp;"[real time]"),INDIRECT(Hours[[#This Row],[table]]&amp;"[employee]"),C12,INDIRECT(Hours[[#This Row],[table]]&amp;"[date]"),F12),"")</f>
        <v>0</v>
      </c>
      <c r="L12" s="36">
        <f ca="1">IFERROR(SUM(SUMIFS(INDIRECT(Hours[[#This Row],[table]]&amp;"[real time]"),INDIRECT(Hours[[#This Row],[table]]&amp;"[employee]"),C12,INDIRECT(Hours[[#This Row],[table]]&amp;"[date]"),F12,INDIRECT(Hours[[#This Row],[table]]&amp;"[code]"),{"a","x",""})),"")</f>
        <v>0</v>
      </c>
      <c r="M12" s="36">
        <f ca="1">IFERROR(SUMIFS(INDIRECT(Hours[[#This Row],[table]]&amp;"[real time]"),INDIRECT(Hours[[#This Row],[table]]&amp;"[employee]"),C12,INDIRECT(Hours[[#This Row],[table]]&amp;"[date]"),F12,INDIRECT(Hours[[#This Row],[table]]&amp;"[code]"),"m"),"")</f>
        <v>0</v>
      </c>
      <c r="N12" s="36">
        <f ca="1">IFERROR(SUMIFS(INDIRECT(Hours[[#This Row],[table]]&amp;"[real time]"),INDIRECT(Hours[[#This Row],[table]]&amp;"[employee]"),C12,INDIRECT(Hours[[#This Row],[table]]&amp;"[date]"),F12,INDIRECT(Hours[[#This Row],[table]]&amp;"[code]"),"e"),"")</f>
        <v>0</v>
      </c>
    </row>
    <row r="13" spans="1:14" x14ac:dyDescent="0.25">
      <c r="A13" s="28" t="s">
        <v>42</v>
      </c>
      <c r="B13" s="28" t="s">
        <v>46</v>
      </c>
      <c r="C13" s="1" t="s">
        <v>47</v>
      </c>
      <c r="D13" s="32" t="str">
        <f>IF(NOT(ISBLANK(Hours[[#This Row],[employee]])),IF(ISNUMBER(Hours[[#This Row],[employee]]),"REG","CON"),"")</f>
        <v>CON</v>
      </c>
      <c r="E13" s="32" t="str">
        <f>IF(Hours[[#This Row],[cat]]="CON","Contractors",IF(Hours[[#This Row],[cat]]="REG","Employees",""))</f>
        <v>Contractors</v>
      </c>
      <c r="F13" s="34">
        <v>44162</v>
      </c>
      <c r="G13" s="35">
        <v>0.68402777777777779</v>
      </c>
      <c r="H13" s="35">
        <v>4.1666666666666664E-2</v>
      </c>
      <c r="I13" s="29">
        <f>IF(H13&lt;G13,24+H13-G13,H13-G13)</f>
        <v>23.357638888888889</v>
      </c>
      <c r="J13" s="36">
        <v>0.33333333333333331</v>
      </c>
      <c r="K13" s="36">
        <f ca="1">IFERROR(SUMIFS(INDIRECT(Hours[[#This Row],[table]]&amp;"[real time]"),INDIRECT(Hours[[#This Row],[table]]&amp;"[employee]"),C13,INDIRECT(Hours[[#This Row],[table]]&amp;"[date]"),F13),"")</f>
        <v>0</v>
      </c>
      <c r="L13" s="36">
        <f ca="1">IFERROR(SUM(SUMIFS(INDIRECT(Hours[[#This Row],[table]]&amp;"[real time]"),INDIRECT(Hours[[#This Row],[table]]&amp;"[employee]"),C13,INDIRECT(Hours[[#This Row],[table]]&amp;"[date]"),F13,INDIRECT(Hours[[#This Row],[table]]&amp;"[code]"),{"a","x",""})),"")</f>
        <v>0</v>
      </c>
      <c r="M13" s="36">
        <f ca="1">IFERROR(SUMIFS(INDIRECT(Hours[[#This Row],[table]]&amp;"[real time]"),INDIRECT(Hours[[#This Row],[table]]&amp;"[employee]"),C13,INDIRECT(Hours[[#This Row],[table]]&amp;"[date]"),F13,INDIRECT(Hours[[#This Row],[table]]&amp;"[code]"),"m"),"")</f>
        <v>0</v>
      </c>
      <c r="N13" s="36">
        <f ca="1">IFERROR(SUMIFS(INDIRECT(Hours[[#This Row],[table]]&amp;"[real time]"),INDIRECT(Hours[[#This Row],[table]]&amp;"[employee]"),C13,INDIRECT(Hours[[#This Row],[table]]&amp;"[date]"),F13,INDIRECT(Hours[[#This Row],[table]]&amp;"[code]"),"e"),"")</f>
        <v>0</v>
      </c>
    </row>
    <row r="14" spans="1:14" x14ac:dyDescent="0.25">
      <c r="A14" s="28" t="s">
        <v>42</v>
      </c>
      <c r="B14" s="28" t="s">
        <v>46</v>
      </c>
      <c r="C14" s="1" t="s">
        <v>47</v>
      </c>
      <c r="D14" s="32" t="str">
        <f>IF(NOT(ISBLANK(Hours[[#This Row],[employee]])),IF(ISNUMBER(Hours[[#This Row],[employee]]),"REG","CON"),"")</f>
        <v>CON</v>
      </c>
      <c r="E14" s="32" t="str">
        <f>IF(Hours[[#This Row],[cat]]="CON","Contractors",IF(Hours[[#This Row],[cat]]="REG","Employees",""))</f>
        <v>Contractors</v>
      </c>
      <c r="F14" s="34">
        <v>44164</v>
      </c>
      <c r="G14" s="35">
        <v>0.26666666666666666</v>
      </c>
      <c r="H14" s="35">
        <v>0.58333333333333337</v>
      </c>
      <c r="I14" s="29">
        <f>IF(H14&lt;G14,24+H14-G14,H14-G14)</f>
        <v>0.31666666666666671</v>
      </c>
      <c r="J14" s="36">
        <v>0.3125</v>
      </c>
      <c r="K14" s="36">
        <f ca="1">IFERROR(SUMIFS(INDIRECT(Hours[[#This Row],[table]]&amp;"[real time]"),INDIRECT(Hours[[#This Row],[table]]&amp;"[employee]"),C14,INDIRECT(Hours[[#This Row],[table]]&amp;"[date]"),F14),"")</f>
        <v>0</v>
      </c>
      <c r="L14" s="36">
        <f ca="1">IFERROR(SUM(SUMIFS(INDIRECT(Hours[[#This Row],[table]]&amp;"[real time]"),INDIRECT(Hours[[#This Row],[table]]&amp;"[employee]"),C14,INDIRECT(Hours[[#This Row],[table]]&amp;"[date]"),F14,INDIRECT(Hours[[#This Row],[table]]&amp;"[code]"),{"a","x",""})),"")</f>
        <v>0</v>
      </c>
      <c r="M14" s="36">
        <f ca="1">IFERROR(SUMIFS(INDIRECT(Hours[[#This Row],[table]]&amp;"[real time]"),INDIRECT(Hours[[#This Row],[table]]&amp;"[employee]"),C14,INDIRECT(Hours[[#This Row],[table]]&amp;"[date]"),F14,INDIRECT(Hours[[#This Row],[table]]&amp;"[code]"),"m"),"")</f>
        <v>0</v>
      </c>
      <c r="N14" s="36">
        <f ca="1">IFERROR(SUMIFS(INDIRECT(Hours[[#This Row],[table]]&amp;"[real time]"),INDIRECT(Hours[[#This Row],[table]]&amp;"[employee]"),C14,INDIRECT(Hours[[#This Row],[table]]&amp;"[date]"),F14,INDIRECT(Hours[[#This Row],[table]]&amp;"[code]"),"e"),"")</f>
        <v>0</v>
      </c>
    </row>
    <row r="15" spans="1:14" x14ac:dyDescent="0.25">
      <c r="A15" s="28" t="s">
        <v>42</v>
      </c>
      <c r="B15" s="28" t="s">
        <v>46</v>
      </c>
      <c r="C15" s="1" t="s">
        <v>47</v>
      </c>
      <c r="D15" s="32" t="str">
        <f>IF(NOT(ISBLANK(Hours[[#This Row],[employee]])),IF(ISNUMBER(Hours[[#This Row],[employee]]),"REG","CON"),"")</f>
        <v>CON</v>
      </c>
      <c r="E15" s="32" t="str">
        <f>IF(Hours[[#This Row],[cat]]="CON","Contractors",IF(Hours[[#This Row],[cat]]="REG","Employees",""))</f>
        <v>Contractors</v>
      </c>
      <c r="F15" s="34">
        <v>44165</v>
      </c>
      <c r="G15" s="35">
        <v>0.68541666666666667</v>
      </c>
      <c r="H15" s="35">
        <v>8.3333333333333329E-2</v>
      </c>
      <c r="I15" s="29">
        <f>IF(H15&lt;G15,24+H15-G15,H15-G15)</f>
        <v>23.397916666666667</v>
      </c>
      <c r="J15" s="36">
        <v>0.375</v>
      </c>
      <c r="K15" s="36">
        <f ca="1">IFERROR(SUMIFS(INDIRECT(Hours[[#This Row],[table]]&amp;"[real time]"),INDIRECT(Hours[[#This Row],[table]]&amp;"[employee]"),C15,INDIRECT(Hours[[#This Row],[table]]&amp;"[date]"),F15),"")</f>
        <v>0</v>
      </c>
      <c r="L15" s="36">
        <f ca="1">IFERROR(SUM(SUMIFS(INDIRECT(Hours[[#This Row],[table]]&amp;"[real time]"),INDIRECT(Hours[[#This Row],[table]]&amp;"[employee]"),C15,INDIRECT(Hours[[#This Row],[table]]&amp;"[date]"),F15,INDIRECT(Hours[[#This Row],[table]]&amp;"[code]"),{"a","x",""})),"")</f>
        <v>0</v>
      </c>
      <c r="M15" s="36">
        <f ca="1">IFERROR(SUMIFS(INDIRECT(Hours[[#This Row],[table]]&amp;"[real time]"),INDIRECT(Hours[[#This Row],[table]]&amp;"[employee]"),C15,INDIRECT(Hours[[#This Row],[table]]&amp;"[date]"),F15,INDIRECT(Hours[[#This Row],[table]]&amp;"[code]"),"m"),"")</f>
        <v>0</v>
      </c>
      <c r="N15" s="36">
        <f ca="1">IFERROR(SUMIFS(INDIRECT(Hours[[#This Row],[table]]&amp;"[real time]"),INDIRECT(Hours[[#This Row],[table]]&amp;"[employee]"),C15,INDIRECT(Hours[[#This Row],[table]]&amp;"[date]"),F15,INDIRECT(Hours[[#This Row],[table]]&amp;"[code]"),"e"),"")</f>
        <v>0</v>
      </c>
    </row>
    <row r="16" spans="1:14" x14ac:dyDescent="0.25">
      <c r="A16" s="28" t="s">
        <v>42</v>
      </c>
      <c r="B16" s="28" t="s">
        <v>46</v>
      </c>
      <c r="C16" s="1" t="s">
        <v>47</v>
      </c>
      <c r="D16" s="32" t="str">
        <f>IF(NOT(ISBLANK(Hours[[#This Row],[employee]])),IF(ISNUMBER(Hours[[#This Row],[employee]]),"REG","CON"),"")</f>
        <v>CON</v>
      </c>
      <c r="E16" s="32" t="str">
        <f>IF(Hours[[#This Row],[cat]]="CON","Contractors",IF(Hours[[#This Row],[cat]]="REG","Employees",""))</f>
        <v>Contractors</v>
      </c>
      <c r="F16" s="34">
        <v>44166</v>
      </c>
      <c r="G16" s="35">
        <v>0.68263888888888891</v>
      </c>
      <c r="H16" s="35">
        <v>8.3333333333333329E-2</v>
      </c>
      <c r="I16" s="29">
        <f>IF(H16&lt;G16,24+H16-G16,H16-G16)</f>
        <v>23.400694444444444</v>
      </c>
      <c r="J16" s="36">
        <v>0.375</v>
      </c>
      <c r="K16" s="36">
        <f ca="1">IFERROR(SUMIFS(INDIRECT(Hours[[#This Row],[table]]&amp;"[real time]"),INDIRECT(Hours[[#This Row],[table]]&amp;"[employee]"),C16,INDIRECT(Hours[[#This Row],[table]]&amp;"[date]"),F16),"")</f>
        <v>0</v>
      </c>
      <c r="L16" s="36">
        <f ca="1">IFERROR(SUM(SUMIFS(INDIRECT(Hours[[#This Row],[table]]&amp;"[real time]"),INDIRECT(Hours[[#This Row],[table]]&amp;"[employee]"),C16,INDIRECT(Hours[[#This Row],[table]]&amp;"[date]"),F16,INDIRECT(Hours[[#This Row],[table]]&amp;"[code]"),{"a","x",""})),"")</f>
        <v>0</v>
      </c>
      <c r="M16" s="36">
        <f ca="1">IFERROR(SUMIFS(INDIRECT(Hours[[#This Row],[table]]&amp;"[real time]"),INDIRECT(Hours[[#This Row],[table]]&amp;"[employee]"),C16,INDIRECT(Hours[[#This Row],[table]]&amp;"[date]"),F16,INDIRECT(Hours[[#This Row],[table]]&amp;"[code]"),"m"),"")</f>
        <v>0</v>
      </c>
      <c r="N16" s="36">
        <f ca="1">IFERROR(SUMIFS(INDIRECT(Hours[[#This Row],[table]]&amp;"[real time]"),INDIRECT(Hours[[#This Row],[table]]&amp;"[employee]"),C16,INDIRECT(Hours[[#This Row],[table]]&amp;"[date]"),F16,INDIRECT(Hours[[#This Row],[table]]&amp;"[code]"),"e"),"")</f>
        <v>0</v>
      </c>
    </row>
    <row r="17" spans="1:14" x14ac:dyDescent="0.25">
      <c r="A17" s="28" t="s">
        <v>42</v>
      </c>
      <c r="B17" s="28" t="s">
        <v>46</v>
      </c>
      <c r="C17" s="1" t="s">
        <v>47</v>
      </c>
      <c r="D17" s="32" t="str">
        <f>IF(NOT(ISBLANK(Hours[[#This Row],[employee]])),IF(ISNUMBER(Hours[[#This Row],[employee]]),"REG","CON"),"")</f>
        <v>CON</v>
      </c>
      <c r="E17" s="32" t="str">
        <f>IF(Hours[[#This Row],[cat]]="CON","Contractors",IF(Hours[[#This Row],[cat]]="REG","Employees",""))</f>
        <v>Contractors</v>
      </c>
      <c r="F17" s="34">
        <v>44167</v>
      </c>
      <c r="G17" s="35">
        <v>0.68611111111111101</v>
      </c>
      <c r="H17" s="35">
        <v>8.3333333333333329E-2</v>
      </c>
      <c r="I17" s="29">
        <f>IF(H17&lt;G17,24+H17-G17,H17-G17)</f>
        <v>23.397222222222222</v>
      </c>
      <c r="J17" s="36">
        <v>0.375</v>
      </c>
      <c r="K17" s="36">
        <f ca="1">IFERROR(SUMIFS(INDIRECT(Hours[[#This Row],[table]]&amp;"[real time]"),INDIRECT(Hours[[#This Row],[table]]&amp;"[employee]"),C17,INDIRECT(Hours[[#This Row],[table]]&amp;"[date]"),F17),"")</f>
        <v>0</v>
      </c>
      <c r="L17" s="36">
        <f ca="1">IFERROR(SUM(SUMIFS(INDIRECT(Hours[[#This Row],[table]]&amp;"[real time]"),INDIRECT(Hours[[#This Row],[table]]&amp;"[employee]"),C17,INDIRECT(Hours[[#This Row],[table]]&amp;"[date]"),F17,INDIRECT(Hours[[#This Row],[table]]&amp;"[code]"),{"a","x",""})),"")</f>
        <v>0</v>
      </c>
      <c r="M17" s="36">
        <f ca="1">IFERROR(SUMIFS(INDIRECT(Hours[[#This Row],[table]]&amp;"[real time]"),INDIRECT(Hours[[#This Row],[table]]&amp;"[employee]"),C17,INDIRECT(Hours[[#This Row],[table]]&amp;"[date]"),F17,INDIRECT(Hours[[#This Row],[table]]&amp;"[code]"),"m"),"")</f>
        <v>0</v>
      </c>
      <c r="N17" s="36">
        <f ca="1">IFERROR(SUMIFS(INDIRECT(Hours[[#This Row],[table]]&amp;"[real time]"),INDIRECT(Hours[[#This Row],[table]]&amp;"[employee]"),C17,INDIRECT(Hours[[#This Row],[table]]&amp;"[date]"),F17,INDIRECT(Hours[[#This Row],[table]]&amp;"[code]"),"e"),"")</f>
        <v>0</v>
      </c>
    </row>
    <row r="18" spans="1:14" x14ac:dyDescent="0.25">
      <c r="A18" s="28" t="s">
        <v>42</v>
      </c>
      <c r="B18" s="28" t="s">
        <v>46</v>
      </c>
      <c r="C18" s="1" t="s">
        <v>47</v>
      </c>
      <c r="D18" s="32" t="str">
        <f>IF(NOT(ISBLANK(Hours[[#This Row],[employee]])),IF(ISNUMBER(Hours[[#This Row],[employee]]),"REG","CON"),"")</f>
        <v>CON</v>
      </c>
      <c r="E18" s="32" t="str">
        <f>IF(Hours[[#This Row],[cat]]="CON","Contractors",IF(Hours[[#This Row],[cat]]="REG","Employees",""))</f>
        <v>Contractors</v>
      </c>
      <c r="F18" s="34">
        <v>44168</v>
      </c>
      <c r="G18" s="35">
        <v>0.68611111111111101</v>
      </c>
      <c r="H18" s="35">
        <v>8.3333333333333329E-2</v>
      </c>
      <c r="I18" s="29">
        <f>IF(H18&lt;G18,24+H18-G18,H18-G18)</f>
        <v>23.397222222222222</v>
      </c>
      <c r="J18" s="36">
        <v>0.375</v>
      </c>
      <c r="K18" s="36">
        <f ca="1">IFERROR(SUMIFS(INDIRECT(Hours[[#This Row],[table]]&amp;"[real time]"),INDIRECT(Hours[[#This Row],[table]]&amp;"[employee]"),C18,INDIRECT(Hours[[#This Row],[table]]&amp;"[date]"),F18),"")</f>
        <v>0</v>
      </c>
      <c r="L18" s="36">
        <f ca="1">IFERROR(SUM(SUMIFS(INDIRECT(Hours[[#This Row],[table]]&amp;"[real time]"),INDIRECT(Hours[[#This Row],[table]]&amp;"[employee]"),C18,INDIRECT(Hours[[#This Row],[table]]&amp;"[date]"),F18,INDIRECT(Hours[[#This Row],[table]]&amp;"[code]"),{"a","x",""})),"")</f>
        <v>0</v>
      </c>
      <c r="M18" s="36">
        <f ca="1">IFERROR(SUMIFS(INDIRECT(Hours[[#This Row],[table]]&amp;"[real time]"),INDIRECT(Hours[[#This Row],[table]]&amp;"[employee]"),C18,INDIRECT(Hours[[#This Row],[table]]&amp;"[date]"),F18,INDIRECT(Hours[[#This Row],[table]]&amp;"[code]"),"m"),"")</f>
        <v>0</v>
      </c>
      <c r="N18" s="36">
        <f ca="1">IFERROR(SUMIFS(INDIRECT(Hours[[#This Row],[table]]&amp;"[real time]"),INDIRECT(Hours[[#This Row],[table]]&amp;"[employee]"),C18,INDIRECT(Hours[[#This Row],[table]]&amp;"[date]"),F18,INDIRECT(Hours[[#This Row],[table]]&amp;"[code]"),"e"),"")</f>
        <v>0</v>
      </c>
    </row>
    <row r="19" spans="1:14" x14ac:dyDescent="0.25">
      <c r="A19" s="28" t="s">
        <v>42</v>
      </c>
      <c r="B19" s="28" t="s">
        <v>46</v>
      </c>
      <c r="C19" s="1" t="s">
        <v>47</v>
      </c>
      <c r="D19" s="32" t="str">
        <f>IF(NOT(ISBLANK(Hours[[#This Row],[employee]])),IF(ISNUMBER(Hours[[#This Row],[employee]]),"REG","CON"),"")</f>
        <v>CON</v>
      </c>
      <c r="E19" s="32" t="str">
        <f>IF(Hours[[#This Row],[cat]]="CON","Contractors",IF(Hours[[#This Row],[cat]]="REG","Employees",""))</f>
        <v>Contractors</v>
      </c>
      <c r="F19" s="34">
        <v>44169</v>
      </c>
      <c r="G19" s="35">
        <v>0.68333333333333324</v>
      </c>
      <c r="H19" s="35">
        <v>4.1666666666666664E-2</v>
      </c>
      <c r="I19" s="29">
        <f>IF(H19&lt;G19,24+H19-G19,H19-G19)</f>
        <v>23.358333333333334</v>
      </c>
      <c r="J19" s="36">
        <v>0.33333333333333331</v>
      </c>
      <c r="K19" s="36">
        <f ca="1">IFERROR(SUMIFS(INDIRECT(Hours[[#This Row],[table]]&amp;"[real time]"),INDIRECT(Hours[[#This Row],[table]]&amp;"[employee]"),C19,INDIRECT(Hours[[#This Row],[table]]&amp;"[date]"),F19),"")</f>
        <v>0</v>
      </c>
      <c r="L19" s="36">
        <f ca="1">IFERROR(SUM(SUMIFS(INDIRECT(Hours[[#This Row],[table]]&amp;"[real time]"),INDIRECT(Hours[[#This Row],[table]]&amp;"[employee]"),C19,INDIRECT(Hours[[#This Row],[table]]&amp;"[date]"),F19,INDIRECT(Hours[[#This Row],[table]]&amp;"[code]"),{"a","x",""})),"")</f>
        <v>0</v>
      </c>
      <c r="M19" s="36">
        <f ca="1">IFERROR(SUMIFS(INDIRECT(Hours[[#This Row],[table]]&amp;"[real time]"),INDIRECT(Hours[[#This Row],[table]]&amp;"[employee]"),C19,INDIRECT(Hours[[#This Row],[table]]&amp;"[date]"),F19,INDIRECT(Hours[[#This Row],[table]]&amp;"[code]"),"m"),"")</f>
        <v>0</v>
      </c>
      <c r="N19" s="36">
        <f ca="1">IFERROR(SUMIFS(INDIRECT(Hours[[#This Row],[table]]&amp;"[real time]"),INDIRECT(Hours[[#This Row],[table]]&amp;"[employee]"),C19,INDIRECT(Hours[[#This Row],[table]]&amp;"[date]"),F19,INDIRECT(Hours[[#This Row],[table]]&amp;"[code]"),"e"),"")</f>
        <v>0</v>
      </c>
    </row>
    <row r="20" spans="1:14" x14ac:dyDescent="0.25">
      <c r="A20" s="1" t="s">
        <v>64</v>
      </c>
      <c r="B20" s="1" t="s">
        <v>65</v>
      </c>
      <c r="C20" s="1" t="s">
        <v>66</v>
      </c>
      <c r="D20" s="32" t="str">
        <f>IF(NOT(ISBLANK(Hours[[#This Row],[employee]])),IF(ISNUMBER(Hours[[#This Row],[employee]]),"REG","CON"),"")</f>
        <v>CON</v>
      </c>
      <c r="E20" s="32" t="str">
        <f>IF(Hours[[#This Row],[cat]]="CON","Contractors",IF(Hours[[#This Row],[cat]]="REG","Employees",""))</f>
        <v>Contractors</v>
      </c>
      <c r="F20" s="34">
        <v>44161</v>
      </c>
      <c r="G20" s="35">
        <v>0.2638888888888889</v>
      </c>
      <c r="H20" s="35">
        <v>0.66666666666666663</v>
      </c>
      <c r="I20" s="29">
        <f t="shared" ref="I20:I27" si="0">IF(H20&lt;G20,24+H20-G20,H20-G20)</f>
        <v>0.40277777777777773</v>
      </c>
      <c r="J20" s="36">
        <v>0.375</v>
      </c>
      <c r="K20" s="36">
        <f ca="1">IFERROR(SUMIFS(INDIRECT(Hours[[#This Row],[table]]&amp;"[real time]"),INDIRECT(Hours[[#This Row],[table]]&amp;"[employee]"),C20,INDIRECT(Hours[[#This Row],[table]]&amp;"[date]"),F20),"")</f>
        <v>0</v>
      </c>
      <c r="L20" s="36">
        <f ca="1">IFERROR(SUM(SUMIFS(INDIRECT(Hours[[#This Row],[table]]&amp;"[real time]"),INDIRECT(Hours[[#This Row],[table]]&amp;"[employee]"),C20,INDIRECT(Hours[[#This Row],[table]]&amp;"[date]"),F20,INDIRECT(Hours[[#This Row],[table]]&amp;"[code]"),{"a","x",""})),"")</f>
        <v>0</v>
      </c>
      <c r="M20" s="36">
        <f ca="1">IFERROR(SUMIFS(INDIRECT(Hours[[#This Row],[table]]&amp;"[real time]"),INDIRECT(Hours[[#This Row],[table]]&amp;"[employee]"),C20,INDIRECT(Hours[[#This Row],[table]]&amp;"[date]"),F20,INDIRECT(Hours[[#This Row],[table]]&amp;"[code]"),"m"),"")</f>
        <v>0</v>
      </c>
      <c r="N20" s="36">
        <f ca="1">IFERROR(SUMIFS(INDIRECT(Hours[[#This Row],[table]]&amp;"[real time]"),INDIRECT(Hours[[#This Row],[table]]&amp;"[employee]"),C20,INDIRECT(Hours[[#This Row],[table]]&amp;"[date]"),F20,INDIRECT(Hours[[#This Row],[table]]&amp;"[code]"),"e"),"")</f>
        <v>0</v>
      </c>
    </row>
    <row r="21" spans="1:14" x14ac:dyDescent="0.25">
      <c r="A21" s="1" t="s">
        <v>64</v>
      </c>
      <c r="B21" s="1" t="s">
        <v>65</v>
      </c>
      <c r="C21" s="1" t="s">
        <v>66</v>
      </c>
      <c r="D21" s="32" t="str">
        <f>IF(NOT(ISBLANK(Hours[[#This Row],[employee]])),IF(ISNUMBER(Hours[[#This Row],[employee]]),"REG","CON"),"")</f>
        <v>CON</v>
      </c>
      <c r="E21" s="32" t="str">
        <f>IF(Hours[[#This Row],[cat]]="CON","Contractors",IF(Hours[[#This Row],[cat]]="REG","Employees",""))</f>
        <v>Contractors</v>
      </c>
      <c r="F21" s="34">
        <v>44162</v>
      </c>
      <c r="G21" s="35">
        <v>0.26597222222222222</v>
      </c>
      <c r="H21" s="35">
        <v>0.66666666666666663</v>
      </c>
      <c r="I21" s="29">
        <f t="shared" si="0"/>
        <v>0.40069444444444441</v>
      </c>
      <c r="J21" s="36">
        <v>0.375</v>
      </c>
      <c r="K21" s="36">
        <f ca="1">IFERROR(SUMIFS(INDIRECT(Hours[[#This Row],[table]]&amp;"[real time]"),INDIRECT(Hours[[#This Row],[table]]&amp;"[employee]"),C21,INDIRECT(Hours[[#This Row],[table]]&amp;"[date]"),F21),"")</f>
        <v>0</v>
      </c>
      <c r="L21" s="36">
        <f ca="1">IFERROR(SUM(SUMIFS(INDIRECT(Hours[[#This Row],[table]]&amp;"[real time]"),INDIRECT(Hours[[#This Row],[table]]&amp;"[employee]"),C21,INDIRECT(Hours[[#This Row],[table]]&amp;"[date]"),F21,INDIRECT(Hours[[#This Row],[table]]&amp;"[code]"),{"a","x",""})),"")</f>
        <v>0</v>
      </c>
      <c r="M21" s="36">
        <f ca="1">IFERROR(SUMIFS(INDIRECT(Hours[[#This Row],[table]]&amp;"[real time]"),INDIRECT(Hours[[#This Row],[table]]&amp;"[employee]"),C21,INDIRECT(Hours[[#This Row],[table]]&amp;"[date]"),F21,INDIRECT(Hours[[#This Row],[table]]&amp;"[code]"),"m"),"")</f>
        <v>0</v>
      </c>
      <c r="N21" s="36">
        <f ca="1">IFERROR(SUMIFS(INDIRECT(Hours[[#This Row],[table]]&amp;"[real time]"),INDIRECT(Hours[[#This Row],[table]]&amp;"[employee]"),C21,INDIRECT(Hours[[#This Row],[table]]&amp;"[date]"),F21,INDIRECT(Hours[[#This Row],[table]]&amp;"[code]"),"e"),"")</f>
        <v>0</v>
      </c>
    </row>
    <row r="22" spans="1:14" x14ac:dyDescent="0.25">
      <c r="A22" s="1" t="s">
        <v>64</v>
      </c>
      <c r="B22" s="1" t="s">
        <v>65</v>
      </c>
      <c r="C22" s="1" t="s">
        <v>66</v>
      </c>
      <c r="D22" s="32" t="str">
        <f>IF(NOT(ISBLANK(Hours[[#This Row],[employee]])),IF(ISNUMBER(Hours[[#This Row],[employee]]),"REG","CON"),"")</f>
        <v>CON</v>
      </c>
      <c r="E22" s="32" t="str">
        <f>IF(Hours[[#This Row],[cat]]="CON","Contractors",IF(Hours[[#This Row],[cat]]="REG","Employees",""))</f>
        <v>Contractors</v>
      </c>
      <c r="F22" s="34">
        <v>44163</v>
      </c>
      <c r="G22" s="35">
        <v>0.26458333333333334</v>
      </c>
      <c r="H22" s="35">
        <v>0.48055555555555557</v>
      </c>
      <c r="I22" s="29">
        <f t="shared" si="0"/>
        <v>0.21597222222222223</v>
      </c>
      <c r="J22" s="36">
        <v>0.20833333333333334</v>
      </c>
      <c r="K22" s="36">
        <f ca="1">IFERROR(SUMIFS(INDIRECT(Hours[[#This Row],[table]]&amp;"[real time]"),INDIRECT(Hours[[#This Row],[table]]&amp;"[employee]"),C22,INDIRECT(Hours[[#This Row],[table]]&amp;"[date]"),F22),"")</f>
        <v>0</v>
      </c>
      <c r="L22" s="36">
        <f ca="1">IFERROR(SUM(SUMIFS(INDIRECT(Hours[[#This Row],[table]]&amp;"[real time]"),INDIRECT(Hours[[#This Row],[table]]&amp;"[employee]"),C22,INDIRECT(Hours[[#This Row],[table]]&amp;"[date]"),F22,INDIRECT(Hours[[#This Row],[table]]&amp;"[code]"),{"a","x",""})),"")</f>
        <v>0</v>
      </c>
      <c r="M22" s="36">
        <f ca="1">IFERROR(SUMIFS(INDIRECT(Hours[[#This Row],[table]]&amp;"[real time]"),INDIRECT(Hours[[#This Row],[table]]&amp;"[employee]"),C22,INDIRECT(Hours[[#This Row],[table]]&amp;"[date]"),F22,INDIRECT(Hours[[#This Row],[table]]&amp;"[code]"),"m"),"")</f>
        <v>0</v>
      </c>
      <c r="N22" s="36">
        <f ca="1">IFERROR(SUMIFS(INDIRECT(Hours[[#This Row],[table]]&amp;"[real time]"),INDIRECT(Hours[[#This Row],[table]]&amp;"[employee]"),C22,INDIRECT(Hours[[#This Row],[table]]&amp;"[date]"),F22,INDIRECT(Hours[[#This Row],[table]]&amp;"[code]"),"e"),"")</f>
        <v>0</v>
      </c>
    </row>
    <row r="23" spans="1:14" x14ac:dyDescent="0.25">
      <c r="A23" s="1" t="s">
        <v>64</v>
      </c>
      <c r="B23" s="1" t="s">
        <v>65</v>
      </c>
      <c r="C23" s="1" t="s">
        <v>66</v>
      </c>
      <c r="D23" s="32" t="str">
        <f>IF(NOT(ISBLANK(Hours[[#This Row],[employee]])),IF(ISNUMBER(Hours[[#This Row],[employee]]),"REG","CON"),"")</f>
        <v>CON</v>
      </c>
      <c r="E23" s="32" t="str">
        <f>IF(Hours[[#This Row],[cat]]="CON","Contractors",IF(Hours[[#This Row],[cat]]="REG","Employees",""))</f>
        <v>Contractors</v>
      </c>
      <c r="F23" s="34">
        <v>44165</v>
      </c>
      <c r="G23" s="35">
        <v>0.26597222222222222</v>
      </c>
      <c r="H23" s="35">
        <v>0.66666666666666663</v>
      </c>
      <c r="I23" s="29">
        <f t="shared" si="0"/>
        <v>0.40069444444444441</v>
      </c>
      <c r="J23" s="36">
        <v>0.375</v>
      </c>
      <c r="K23" s="36">
        <f ca="1">IFERROR(SUMIFS(INDIRECT(Hours[[#This Row],[table]]&amp;"[real time]"),INDIRECT(Hours[[#This Row],[table]]&amp;"[employee]"),C23,INDIRECT(Hours[[#This Row],[table]]&amp;"[date]"),F23),"")</f>
        <v>0</v>
      </c>
      <c r="L23" s="36">
        <f ca="1">IFERROR(SUM(SUMIFS(INDIRECT(Hours[[#This Row],[table]]&amp;"[real time]"),INDIRECT(Hours[[#This Row],[table]]&amp;"[employee]"),C23,INDIRECT(Hours[[#This Row],[table]]&amp;"[date]"),F23,INDIRECT(Hours[[#This Row],[table]]&amp;"[code]"),{"a","x",""})),"")</f>
        <v>0</v>
      </c>
      <c r="M23" s="36">
        <f ca="1">IFERROR(SUMIFS(INDIRECT(Hours[[#This Row],[table]]&amp;"[real time]"),INDIRECT(Hours[[#This Row],[table]]&amp;"[employee]"),C23,INDIRECT(Hours[[#This Row],[table]]&amp;"[date]"),F23,INDIRECT(Hours[[#This Row],[table]]&amp;"[code]"),"m"),"")</f>
        <v>0</v>
      </c>
      <c r="N23" s="36">
        <f ca="1">IFERROR(SUMIFS(INDIRECT(Hours[[#This Row],[table]]&amp;"[real time]"),INDIRECT(Hours[[#This Row],[table]]&amp;"[employee]"),C23,INDIRECT(Hours[[#This Row],[table]]&amp;"[date]"),F23,INDIRECT(Hours[[#This Row],[table]]&amp;"[code]"),"e"),"")</f>
        <v>0</v>
      </c>
    </row>
    <row r="24" spans="1:14" x14ac:dyDescent="0.25">
      <c r="A24" s="1" t="s">
        <v>64</v>
      </c>
      <c r="B24" s="1" t="s">
        <v>65</v>
      </c>
      <c r="C24" s="1" t="s">
        <v>66</v>
      </c>
      <c r="D24" s="32" t="str">
        <f>IF(NOT(ISBLANK(Hours[[#This Row],[employee]])),IF(ISNUMBER(Hours[[#This Row],[employee]]),"REG","CON"),"")</f>
        <v>CON</v>
      </c>
      <c r="E24" s="32" t="str">
        <f>IF(Hours[[#This Row],[cat]]="CON","Contractors",IF(Hours[[#This Row],[cat]]="REG","Employees",""))</f>
        <v>Contractors</v>
      </c>
      <c r="F24" s="34">
        <v>44166</v>
      </c>
      <c r="G24" s="35">
        <v>0.26597222222222222</v>
      </c>
      <c r="H24" s="35">
        <v>0.66666666666666663</v>
      </c>
      <c r="I24" s="29">
        <f t="shared" si="0"/>
        <v>0.40069444444444441</v>
      </c>
      <c r="J24" s="36">
        <v>0.375</v>
      </c>
      <c r="K24" s="36">
        <f ca="1">IFERROR(SUMIFS(INDIRECT(Hours[[#This Row],[table]]&amp;"[real time]"),INDIRECT(Hours[[#This Row],[table]]&amp;"[employee]"),C24,INDIRECT(Hours[[#This Row],[table]]&amp;"[date]"),F24),"")</f>
        <v>0</v>
      </c>
      <c r="L24" s="36">
        <f ca="1">IFERROR(SUM(SUMIFS(INDIRECT(Hours[[#This Row],[table]]&amp;"[real time]"),INDIRECT(Hours[[#This Row],[table]]&amp;"[employee]"),C24,INDIRECT(Hours[[#This Row],[table]]&amp;"[date]"),F24,INDIRECT(Hours[[#This Row],[table]]&amp;"[code]"),{"a","x",""})),"")</f>
        <v>0</v>
      </c>
      <c r="M24" s="36">
        <f ca="1">IFERROR(SUMIFS(INDIRECT(Hours[[#This Row],[table]]&amp;"[real time]"),INDIRECT(Hours[[#This Row],[table]]&amp;"[employee]"),C24,INDIRECT(Hours[[#This Row],[table]]&amp;"[date]"),F24,INDIRECT(Hours[[#This Row],[table]]&amp;"[code]"),"m"),"")</f>
        <v>0</v>
      </c>
      <c r="N24" s="36">
        <f ca="1">IFERROR(SUMIFS(INDIRECT(Hours[[#This Row],[table]]&amp;"[real time]"),INDIRECT(Hours[[#This Row],[table]]&amp;"[employee]"),C24,INDIRECT(Hours[[#This Row],[table]]&amp;"[date]"),F24,INDIRECT(Hours[[#This Row],[table]]&amp;"[code]"),"e"),"")</f>
        <v>0</v>
      </c>
    </row>
    <row r="25" spans="1:14" x14ac:dyDescent="0.25">
      <c r="A25" s="1" t="s">
        <v>64</v>
      </c>
      <c r="B25" s="1" t="s">
        <v>65</v>
      </c>
      <c r="C25" s="1" t="s">
        <v>66</v>
      </c>
      <c r="D25" s="32" t="str">
        <f>IF(NOT(ISBLANK(Hours[[#This Row],[employee]])),IF(ISNUMBER(Hours[[#This Row],[employee]]),"REG","CON"),"")</f>
        <v>CON</v>
      </c>
      <c r="E25" s="32" t="str">
        <f>IF(Hours[[#This Row],[cat]]="CON","Contractors",IF(Hours[[#This Row],[cat]]="REG","Employees",""))</f>
        <v>Contractors</v>
      </c>
      <c r="F25" s="34">
        <v>44167</v>
      </c>
      <c r="G25" s="35">
        <v>0.26666666666666666</v>
      </c>
      <c r="H25" s="35">
        <v>0.66666666666666663</v>
      </c>
      <c r="I25" s="29">
        <f t="shared" si="0"/>
        <v>0.39999999999999997</v>
      </c>
      <c r="J25" s="36">
        <v>0.375</v>
      </c>
      <c r="K25" s="36">
        <f ca="1">IFERROR(SUMIFS(INDIRECT(Hours[[#This Row],[table]]&amp;"[real time]"),INDIRECT(Hours[[#This Row],[table]]&amp;"[employee]"),C25,INDIRECT(Hours[[#This Row],[table]]&amp;"[date]"),F25),"")</f>
        <v>0</v>
      </c>
      <c r="L25" s="36">
        <f ca="1">IFERROR(SUM(SUMIFS(INDIRECT(Hours[[#This Row],[table]]&amp;"[real time]"),INDIRECT(Hours[[#This Row],[table]]&amp;"[employee]"),C25,INDIRECT(Hours[[#This Row],[table]]&amp;"[date]"),F25,INDIRECT(Hours[[#This Row],[table]]&amp;"[code]"),{"a","x",""})),"")</f>
        <v>0</v>
      </c>
      <c r="M25" s="36">
        <f ca="1">IFERROR(SUMIFS(INDIRECT(Hours[[#This Row],[table]]&amp;"[real time]"),INDIRECT(Hours[[#This Row],[table]]&amp;"[employee]"),C25,INDIRECT(Hours[[#This Row],[table]]&amp;"[date]"),F25,INDIRECT(Hours[[#This Row],[table]]&amp;"[code]"),"m"),"")</f>
        <v>0</v>
      </c>
      <c r="N25" s="36">
        <f ca="1">IFERROR(SUMIFS(INDIRECT(Hours[[#This Row],[table]]&amp;"[real time]"),INDIRECT(Hours[[#This Row],[table]]&amp;"[employee]"),C25,INDIRECT(Hours[[#This Row],[table]]&amp;"[date]"),F25,INDIRECT(Hours[[#This Row],[table]]&amp;"[code]"),"e"),"")</f>
        <v>0</v>
      </c>
    </row>
    <row r="26" spans="1:14" x14ac:dyDescent="0.25">
      <c r="A26" s="1" t="s">
        <v>64</v>
      </c>
      <c r="B26" s="1" t="s">
        <v>65</v>
      </c>
      <c r="C26" s="1" t="s">
        <v>66</v>
      </c>
      <c r="D26" s="32" t="str">
        <f>IF(NOT(ISBLANK(Hours[[#This Row],[employee]])),IF(ISNUMBER(Hours[[#This Row],[employee]]),"REG","CON"),"")</f>
        <v>CON</v>
      </c>
      <c r="E26" s="32" t="str">
        <f>IF(Hours[[#This Row],[cat]]="CON","Contractors",IF(Hours[[#This Row],[cat]]="REG","Employees",""))</f>
        <v>Contractors</v>
      </c>
      <c r="F26" s="34">
        <v>44168</v>
      </c>
      <c r="G26" s="35">
        <v>0.26527777777777778</v>
      </c>
      <c r="H26" s="35">
        <v>0.66736111111111107</v>
      </c>
      <c r="I26" s="29">
        <f t="shared" si="0"/>
        <v>0.40208333333333329</v>
      </c>
      <c r="J26" s="36">
        <v>0.375</v>
      </c>
      <c r="K26" s="36">
        <f ca="1">IFERROR(SUMIFS(INDIRECT(Hours[[#This Row],[table]]&amp;"[real time]"),INDIRECT(Hours[[#This Row],[table]]&amp;"[employee]"),C26,INDIRECT(Hours[[#This Row],[table]]&amp;"[date]"),F26),"")</f>
        <v>0</v>
      </c>
      <c r="L26" s="36">
        <f ca="1">IFERROR(SUM(SUMIFS(INDIRECT(Hours[[#This Row],[table]]&amp;"[real time]"),INDIRECT(Hours[[#This Row],[table]]&amp;"[employee]"),C26,INDIRECT(Hours[[#This Row],[table]]&amp;"[date]"),F26,INDIRECT(Hours[[#This Row],[table]]&amp;"[code]"),{"a","x",""})),"")</f>
        <v>0</v>
      </c>
      <c r="M26" s="36">
        <f ca="1">IFERROR(SUMIFS(INDIRECT(Hours[[#This Row],[table]]&amp;"[real time]"),INDIRECT(Hours[[#This Row],[table]]&amp;"[employee]"),C26,INDIRECT(Hours[[#This Row],[table]]&amp;"[date]"),F26,INDIRECT(Hours[[#This Row],[table]]&amp;"[code]"),"m"),"")</f>
        <v>0</v>
      </c>
      <c r="N26" s="36">
        <f ca="1">IFERROR(SUMIFS(INDIRECT(Hours[[#This Row],[table]]&amp;"[real time]"),INDIRECT(Hours[[#This Row],[table]]&amp;"[employee]"),C26,INDIRECT(Hours[[#This Row],[table]]&amp;"[date]"),F26,INDIRECT(Hours[[#This Row],[table]]&amp;"[code]"),"e"),"")</f>
        <v>0</v>
      </c>
    </row>
    <row r="27" spans="1:14" x14ac:dyDescent="0.25">
      <c r="A27" s="1" t="s">
        <v>64</v>
      </c>
      <c r="B27" s="1" t="s">
        <v>65</v>
      </c>
      <c r="C27" s="1" t="s">
        <v>66</v>
      </c>
      <c r="D27" s="32" t="str">
        <f>IF(NOT(ISBLANK(Hours[[#This Row],[employee]])),IF(ISNUMBER(Hours[[#This Row],[employee]]),"REG","CON"),"")</f>
        <v>CON</v>
      </c>
      <c r="E27" s="32" t="str">
        <f>IF(Hours[[#This Row],[cat]]="CON","Contractors",IF(Hours[[#This Row],[cat]]="REG","Employees",""))</f>
        <v>Contractors</v>
      </c>
      <c r="F27" s="34">
        <v>44169</v>
      </c>
      <c r="G27" s="35">
        <v>0.2673611111111111</v>
      </c>
      <c r="H27" s="35">
        <v>0.66666666666666663</v>
      </c>
      <c r="I27" s="29">
        <f t="shared" si="0"/>
        <v>0.39930555555555552</v>
      </c>
      <c r="J27" s="36">
        <v>0.375</v>
      </c>
      <c r="K27" s="36">
        <f ca="1">IFERROR(SUMIFS(INDIRECT(Hours[[#This Row],[table]]&amp;"[real time]"),INDIRECT(Hours[[#This Row],[table]]&amp;"[employee]"),C27,INDIRECT(Hours[[#This Row],[table]]&amp;"[date]"),F27),"")</f>
        <v>0</v>
      </c>
      <c r="L27" s="36">
        <f ca="1">IFERROR(SUM(SUMIFS(INDIRECT(Hours[[#This Row],[table]]&amp;"[real time]"),INDIRECT(Hours[[#This Row],[table]]&amp;"[employee]"),C27,INDIRECT(Hours[[#This Row],[table]]&amp;"[date]"),F27,INDIRECT(Hours[[#This Row],[table]]&amp;"[code]"),{"a","x",""})),"")</f>
        <v>0</v>
      </c>
      <c r="M27" s="36">
        <f ca="1">IFERROR(SUMIFS(INDIRECT(Hours[[#This Row],[table]]&amp;"[real time]"),INDIRECT(Hours[[#This Row],[table]]&amp;"[employee]"),C27,INDIRECT(Hours[[#This Row],[table]]&amp;"[date]"),F27,INDIRECT(Hours[[#This Row],[table]]&amp;"[code]"),"m"),"")</f>
        <v>0</v>
      </c>
      <c r="N27" s="36">
        <f ca="1">IFERROR(SUMIFS(INDIRECT(Hours[[#This Row],[table]]&amp;"[real time]"),INDIRECT(Hours[[#This Row],[table]]&amp;"[employee]"),C27,INDIRECT(Hours[[#This Row],[table]]&amp;"[date]"),F27,INDIRECT(Hours[[#This Row],[table]]&amp;"[code]"),"e"),"")</f>
        <v>0</v>
      </c>
    </row>
    <row r="28" spans="1:14" x14ac:dyDescent="0.25">
      <c r="A28" s="28" t="s">
        <v>48</v>
      </c>
      <c r="B28" s="28" t="s">
        <v>49</v>
      </c>
      <c r="C28" s="1" t="s">
        <v>50</v>
      </c>
      <c r="D28" s="32" t="str">
        <f>IF(NOT(ISBLANK(Hours[[#This Row],[employee]])),IF(ISNUMBER(Hours[[#This Row],[employee]]),"REG","CON"),"")</f>
        <v>CON</v>
      </c>
      <c r="E28" s="32" t="str">
        <f>IF(Hours[[#This Row],[cat]]="CON","Contractors",IF(Hours[[#This Row],[cat]]="REG","Employees",""))</f>
        <v>Contractors</v>
      </c>
      <c r="F28" s="34">
        <v>44158</v>
      </c>
      <c r="G28" s="35">
        <v>0.22361111111111109</v>
      </c>
      <c r="H28" s="35">
        <v>0.70833333333333337</v>
      </c>
      <c r="I28" s="29">
        <f>IF(H28&lt;G28,24+H28-G28,H28-G28)</f>
        <v>0.48472222222222228</v>
      </c>
      <c r="J28" s="36">
        <v>0.45833333333333331</v>
      </c>
      <c r="K28" s="36">
        <f ca="1">IFERROR(SUMIFS(INDIRECT(Hours[[#This Row],[table]]&amp;"[real time]"),INDIRECT(Hours[[#This Row],[table]]&amp;"[employee]"),C28,INDIRECT(Hours[[#This Row],[table]]&amp;"[date]"),F28),"")</f>
        <v>0</v>
      </c>
      <c r="L28" s="36">
        <f ca="1">IFERROR(SUM(SUMIFS(INDIRECT(Hours[[#This Row],[table]]&amp;"[real time]"),INDIRECT(Hours[[#This Row],[table]]&amp;"[employee]"),C28,INDIRECT(Hours[[#This Row],[table]]&amp;"[date]"),F28,INDIRECT(Hours[[#This Row],[table]]&amp;"[code]"),{"a","x",""})),"")</f>
        <v>0</v>
      </c>
      <c r="M28" s="36">
        <f ca="1">IFERROR(SUMIFS(INDIRECT(Hours[[#This Row],[table]]&amp;"[real time]"),INDIRECT(Hours[[#This Row],[table]]&amp;"[employee]"),C28,INDIRECT(Hours[[#This Row],[table]]&amp;"[date]"),F28,INDIRECT(Hours[[#This Row],[table]]&amp;"[code]"),"m"),"")</f>
        <v>0</v>
      </c>
      <c r="N28" s="36">
        <f ca="1">IFERROR(SUMIFS(INDIRECT(Hours[[#This Row],[table]]&amp;"[real time]"),INDIRECT(Hours[[#This Row],[table]]&amp;"[employee]"),C28,INDIRECT(Hours[[#This Row],[table]]&amp;"[date]"),F28,INDIRECT(Hours[[#This Row],[table]]&amp;"[code]"),"e"),"")</f>
        <v>0</v>
      </c>
    </row>
    <row r="29" spans="1:14" x14ac:dyDescent="0.25">
      <c r="A29" s="28" t="s">
        <v>48</v>
      </c>
      <c r="B29" s="28" t="s">
        <v>49</v>
      </c>
      <c r="C29" s="1" t="s">
        <v>50</v>
      </c>
      <c r="D29" s="32" t="str">
        <f>IF(NOT(ISBLANK(Hours[[#This Row],[employee]])),IF(ISNUMBER(Hours[[#This Row],[employee]]),"REG","CON"),"")</f>
        <v>CON</v>
      </c>
      <c r="E29" s="32" t="str">
        <f>IF(Hours[[#This Row],[cat]]="CON","Contractors",IF(Hours[[#This Row],[cat]]="REG","Employees",""))</f>
        <v>Contractors</v>
      </c>
      <c r="F29" s="34">
        <v>44159</v>
      </c>
      <c r="G29" s="35">
        <v>0.22916666666666666</v>
      </c>
      <c r="H29" s="35">
        <v>0.66666666666666663</v>
      </c>
      <c r="I29" s="29">
        <f>IF(H29&lt;G29,24+H29-G29,H29-G29)</f>
        <v>0.4375</v>
      </c>
      <c r="J29" s="36">
        <v>0.41666666666666669</v>
      </c>
      <c r="K29" s="36">
        <f ca="1">IFERROR(SUMIFS(INDIRECT(Hours[[#This Row],[table]]&amp;"[real time]"),INDIRECT(Hours[[#This Row],[table]]&amp;"[employee]"),C29,INDIRECT(Hours[[#This Row],[table]]&amp;"[date]"),F29),"")</f>
        <v>0</v>
      </c>
      <c r="L29" s="36">
        <f ca="1">IFERROR(SUM(SUMIFS(INDIRECT(Hours[[#This Row],[table]]&amp;"[real time]"),INDIRECT(Hours[[#This Row],[table]]&amp;"[employee]"),C29,INDIRECT(Hours[[#This Row],[table]]&amp;"[date]"),F29,INDIRECT(Hours[[#This Row],[table]]&amp;"[code]"),{"a","x",""})),"")</f>
        <v>0</v>
      </c>
      <c r="M29" s="36">
        <f ca="1">IFERROR(SUMIFS(INDIRECT(Hours[[#This Row],[table]]&amp;"[real time]"),INDIRECT(Hours[[#This Row],[table]]&amp;"[employee]"),C29,INDIRECT(Hours[[#This Row],[table]]&amp;"[date]"),F29,INDIRECT(Hours[[#This Row],[table]]&amp;"[code]"),"m"),"")</f>
        <v>0</v>
      </c>
      <c r="N29" s="36">
        <f ca="1">IFERROR(SUMIFS(INDIRECT(Hours[[#This Row],[table]]&amp;"[real time]"),INDIRECT(Hours[[#This Row],[table]]&amp;"[employee]"),C29,INDIRECT(Hours[[#This Row],[table]]&amp;"[date]"),F29,INDIRECT(Hours[[#This Row],[table]]&amp;"[code]"),"e"),"")</f>
        <v>0</v>
      </c>
    </row>
    <row r="30" spans="1:14" x14ac:dyDescent="0.25">
      <c r="A30" s="28" t="s">
        <v>48</v>
      </c>
      <c r="B30" s="28" t="s">
        <v>49</v>
      </c>
      <c r="C30" s="1" t="s">
        <v>50</v>
      </c>
      <c r="D30" s="32" t="str">
        <f>IF(NOT(ISBLANK(Hours[[#This Row],[employee]])),IF(ISNUMBER(Hours[[#This Row],[employee]]),"REG","CON"),"")</f>
        <v>CON</v>
      </c>
      <c r="E30" s="32" t="str">
        <f>IF(Hours[[#This Row],[cat]]="CON","Contractors",IF(Hours[[#This Row],[cat]]="REG","Employees",""))</f>
        <v>Contractors</v>
      </c>
      <c r="F30" s="34">
        <v>44160</v>
      </c>
      <c r="G30" s="35">
        <v>0.23055555555555554</v>
      </c>
      <c r="H30" s="35">
        <v>0.70763888888888893</v>
      </c>
      <c r="I30" s="29">
        <f>IF(H30&lt;G30,24+H30-G30,H30-G30)</f>
        <v>0.47708333333333341</v>
      </c>
      <c r="J30" s="36">
        <v>0.45833333333333331</v>
      </c>
      <c r="K30" s="36">
        <f ca="1">IFERROR(SUMIFS(INDIRECT(Hours[[#This Row],[table]]&amp;"[real time]"),INDIRECT(Hours[[#This Row],[table]]&amp;"[employee]"),C30,INDIRECT(Hours[[#This Row],[table]]&amp;"[date]"),F30),"")</f>
        <v>0</v>
      </c>
      <c r="L30" s="36">
        <f ca="1">IFERROR(SUM(SUMIFS(INDIRECT(Hours[[#This Row],[table]]&amp;"[real time]"),INDIRECT(Hours[[#This Row],[table]]&amp;"[employee]"),C30,INDIRECT(Hours[[#This Row],[table]]&amp;"[date]"),F30,INDIRECT(Hours[[#This Row],[table]]&amp;"[code]"),{"a","x",""})),"")</f>
        <v>0</v>
      </c>
      <c r="M30" s="36">
        <f ca="1">IFERROR(SUMIFS(INDIRECT(Hours[[#This Row],[table]]&amp;"[real time]"),INDIRECT(Hours[[#This Row],[table]]&amp;"[employee]"),C30,INDIRECT(Hours[[#This Row],[table]]&amp;"[date]"),F30,INDIRECT(Hours[[#This Row],[table]]&amp;"[code]"),"m"),"")</f>
        <v>0</v>
      </c>
      <c r="N30" s="36">
        <f ca="1">IFERROR(SUMIFS(INDIRECT(Hours[[#This Row],[table]]&amp;"[real time]"),INDIRECT(Hours[[#This Row],[table]]&amp;"[employee]"),C30,INDIRECT(Hours[[#This Row],[table]]&amp;"[date]"),F30,INDIRECT(Hours[[#This Row],[table]]&amp;"[code]"),"e"),"")</f>
        <v>0</v>
      </c>
    </row>
    <row r="31" spans="1:14" x14ac:dyDescent="0.25">
      <c r="A31" s="28" t="s">
        <v>48</v>
      </c>
      <c r="B31" s="28" t="s">
        <v>49</v>
      </c>
      <c r="C31" s="1" t="s">
        <v>50</v>
      </c>
      <c r="D31" s="32" t="str">
        <f>IF(NOT(ISBLANK(Hours[[#This Row],[employee]])),IF(ISNUMBER(Hours[[#This Row],[employee]]),"REG","CON"),"")</f>
        <v>CON</v>
      </c>
      <c r="E31" s="32" t="str">
        <f>IF(Hours[[#This Row],[cat]]="CON","Contractors",IF(Hours[[#This Row],[cat]]="REG","Employees",""))</f>
        <v>Contractors</v>
      </c>
      <c r="F31" s="34">
        <v>44161</v>
      </c>
      <c r="G31" s="35">
        <v>0.22847222222222222</v>
      </c>
      <c r="H31" s="35">
        <v>0.66666666666666663</v>
      </c>
      <c r="I31" s="29">
        <f>IF(H31&lt;G31,24+H31-G31,H31-G31)</f>
        <v>0.43819444444444444</v>
      </c>
      <c r="J31" s="36">
        <v>0.41666666666666669</v>
      </c>
      <c r="K31" s="36">
        <f ca="1">IFERROR(SUMIFS(INDIRECT(Hours[[#This Row],[table]]&amp;"[real time]"),INDIRECT(Hours[[#This Row],[table]]&amp;"[employee]"),C31,INDIRECT(Hours[[#This Row],[table]]&amp;"[date]"),F31),"")</f>
        <v>0</v>
      </c>
      <c r="L31" s="36">
        <f ca="1">IFERROR(SUM(SUMIFS(INDIRECT(Hours[[#This Row],[table]]&amp;"[real time]"),INDIRECT(Hours[[#This Row],[table]]&amp;"[employee]"),C31,INDIRECT(Hours[[#This Row],[table]]&amp;"[date]"),F31,INDIRECT(Hours[[#This Row],[table]]&amp;"[code]"),{"a","x",""})),"")</f>
        <v>0</v>
      </c>
      <c r="M31" s="36">
        <f ca="1">IFERROR(SUMIFS(INDIRECT(Hours[[#This Row],[table]]&amp;"[real time]"),INDIRECT(Hours[[#This Row],[table]]&amp;"[employee]"),C31,INDIRECT(Hours[[#This Row],[table]]&amp;"[date]"),F31,INDIRECT(Hours[[#This Row],[table]]&amp;"[code]"),"m"),"")</f>
        <v>0</v>
      </c>
      <c r="N31" s="36">
        <f ca="1">IFERROR(SUMIFS(INDIRECT(Hours[[#This Row],[table]]&amp;"[real time]"),INDIRECT(Hours[[#This Row],[table]]&amp;"[employee]"),C31,INDIRECT(Hours[[#This Row],[table]]&amp;"[date]"),F31,INDIRECT(Hours[[#This Row],[table]]&amp;"[code]"),"e"),"")</f>
        <v>0</v>
      </c>
    </row>
    <row r="32" spans="1:14" x14ac:dyDescent="0.25">
      <c r="A32" s="28" t="s">
        <v>48</v>
      </c>
      <c r="B32" s="28" t="s">
        <v>49</v>
      </c>
      <c r="C32" s="1" t="s">
        <v>50</v>
      </c>
      <c r="D32" s="32" t="str">
        <f>IF(NOT(ISBLANK(Hours[[#This Row],[employee]])),IF(ISNUMBER(Hours[[#This Row],[employee]]),"REG","CON"),"")</f>
        <v>CON</v>
      </c>
      <c r="E32" s="32" t="str">
        <f>IF(Hours[[#This Row],[cat]]="CON","Contractors",IF(Hours[[#This Row],[cat]]="REG","Employees",""))</f>
        <v>Contractors</v>
      </c>
      <c r="F32" s="34">
        <v>44162</v>
      </c>
      <c r="G32" s="35">
        <v>0.23055555555555554</v>
      </c>
      <c r="H32" s="35">
        <v>0.6875</v>
      </c>
      <c r="I32" s="29">
        <f>IF(H32&lt;G32,24+H32-G32,H32-G32)</f>
        <v>0.45694444444444449</v>
      </c>
      <c r="J32" s="36">
        <v>0.4375</v>
      </c>
      <c r="K32" s="36">
        <f ca="1">IFERROR(SUMIFS(INDIRECT(Hours[[#This Row],[table]]&amp;"[real time]"),INDIRECT(Hours[[#This Row],[table]]&amp;"[employee]"),C32,INDIRECT(Hours[[#This Row],[table]]&amp;"[date]"),F32),"")</f>
        <v>0</v>
      </c>
      <c r="L32" s="36">
        <f ca="1">IFERROR(SUM(SUMIFS(INDIRECT(Hours[[#This Row],[table]]&amp;"[real time]"),INDIRECT(Hours[[#This Row],[table]]&amp;"[employee]"),C32,INDIRECT(Hours[[#This Row],[table]]&amp;"[date]"),F32,INDIRECT(Hours[[#This Row],[table]]&amp;"[code]"),{"a","x",""})),"")</f>
        <v>0</v>
      </c>
      <c r="M32" s="36">
        <f ca="1">IFERROR(SUMIFS(INDIRECT(Hours[[#This Row],[table]]&amp;"[real time]"),INDIRECT(Hours[[#This Row],[table]]&amp;"[employee]"),C32,INDIRECT(Hours[[#This Row],[table]]&amp;"[date]"),F32,INDIRECT(Hours[[#This Row],[table]]&amp;"[code]"),"m"),"")</f>
        <v>0</v>
      </c>
      <c r="N32" s="36">
        <f ca="1">IFERROR(SUMIFS(INDIRECT(Hours[[#This Row],[table]]&amp;"[real time]"),INDIRECT(Hours[[#This Row],[table]]&amp;"[employee]"),C32,INDIRECT(Hours[[#This Row],[table]]&amp;"[date]"),F32,INDIRECT(Hours[[#This Row],[table]]&amp;"[code]"),"e"),"")</f>
        <v>0</v>
      </c>
    </row>
    <row r="33" spans="1:14" x14ac:dyDescent="0.25">
      <c r="A33" s="28" t="s">
        <v>48</v>
      </c>
      <c r="B33" s="28" t="s">
        <v>49</v>
      </c>
      <c r="C33" s="1" t="s">
        <v>50</v>
      </c>
      <c r="D33" s="32" t="str">
        <f>IF(NOT(ISBLANK(Hours[[#This Row],[employee]])),IF(ISNUMBER(Hours[[#This Row],[employee]]),"REG","CON"),"")</f>
        <v>CON</v>
      </c>
      <c r="E33" s="32" t="str">
        <f>IF(Hours[[#This Row],[cat]]="CON","Contractors",IF(Hours[[#This Row],[cat]]="REG","Employees",""))</f>
        <v>Contractors</v>
      </c>
      <c r="F33" s="34">
        <v>44163</v>
      </c>
      <c r="G33" s="35">
        <v>0.23055555555555554</v>
      </c>
      <c r="H33" s="35">
        <v>0.66805555555555562</v>
      </c>
      <c r="I33" s="29">
        <f>IF(H33&lt;G33,24+H33-G33,H33-G33)</f>
        <v>0.43750000000000011</v>
      </c>
      <c r="J33" s="36">
        <v>0.41666666666666669</v>
      </c>
      <c r="K33" s="36">
        <f ca="1">IFERROR(SUMIFS(INDIRECT(Hours[[#This Row],[table]]&amp;"[real time]"),INDIRECT(Hours[[#This Row],[table]]&amp;"[employee]"),C33,INDIRECT(Hours[[#This Row],[table]]&amp;"[date]"),F33),"")</f>
        <v>0</v>
      </c>
      <c r="L33" s="36">
        <f ca="1">IFERROR(SUM(SUMIFS(INDIRECT(Hours[[#This Row],[table]]&amp;"[real time]"),INDIRECT(Hours[[#This Row],[table]]&amp;"[employee]"),C33,INDIRECT(Hours[[#This Row],[table]]&amp;"[date]"),F33,INDIRECT(Hours[[#This Row],[table]]&amp;"[code]"),{"a","x",""})),"")</f>
        <v>0</v>
      </c>
      <c r="M33" s="36">
        <f ca="1">IFERROR(SUMIFS(INDIRECT(Hours[[#This Row],[table]]&amp;"[real time]"),INDIRECT(Hours[[#This Row],[table]]&amp;"[employee]"),C33,INDIRECT(Hours[[#This Row],[table]]&amp;"[date]"),F33,INDIRECT(Hours[[#This Row],[table]]&amp;"[code]"),"m"),"")</f>
        <v>0</v>
      </c>
      <c r="N33" s="36">
        <f ca="1">IFERROR(SUMIFS(INDIRECT(Hours[[#This Row],[table]]&amp;"[real time]"),INDIRECT(Hours[[#This Row],[table]]&amp;"[employee]"),C33,INDIRECT(Hours[[#This Row],[table]]&amp;"[date]"),F33,INDIRECT(Hours[[#This Row],[table]]&amp;"[code]"),"e"),"")</f>
        <v>0</v>
      </c>
    </row>
    <row r="34" spans="1:14" x14ac:dyDescent="0.25">
      <c r="A34" s="28" t="s">
        <v>48</v>
      </c>
      <c r="B34" s="28" t="s">
        <v>49</v>
      </c>
      <c r="C34" s="1" t="s">
        <v>50</v>
      </c>
      <c r="D34" s="32" t="str">
        <f>IF(NOT(ISBLANK(Hours[[#This Row],[employee]])),IF(ISNUMBER(Hours[[#This Row],[employee]]),"REG","CON"),"")</f>
        <v>CON</v>
      </c>
      <c r="E34" s="32" t="str">
        <f>IF(Hours[[#This Row],[cat]]="CON","Contractors",IF(Hours[[#This Row],[cat]]="REG","Employees",""))</f>
        <v>Contractors</v>
      </c>
      <c r="F34" s="34">
        <v>44165</v>
      </c>
      <c r="G34" s="35">
        <v>0.22638888888888889</v>
      </c>
      <c r="H34" s="35">
        <v>0.7090277777777777</v>
      </c>
      <c r="I34" s="29">
        <f>IF(H34&lt;G34,24+H34-G34,H34-G34)</f>
        <v>0.48263888888888884</v>
      </c>
      <c r="J34" s="36">
        <v>0.45833333333333331</v>
      </c>
      <c r="K34" s="36">
        <f ca="1">IFERROR(SUMIFS(INDIRECT(Hours[[#This Row],[table]]&amp;"[real time]"),INDIRECT(Hours[[#This Row],[table]]&amp;"[employee]"),C34,INDIRECT(Hours[[#This Row],[table]]&amp;"[date]"),F34),"")</f>
        <v>0</v>
      </c>
      <c r="L34" s="36">
        <f ca="1">IFERROR(SUM(SUMIFS(INDIRECT(Hours[[#This Row],[table]]&amp;"[real time]"),INDIRECT(Hours[[#This Row],[table]]&amp;"[employee]"),C34,INDIRECT(Hours[[#This Row],[table]]&amp;"[date]"),F34,INDIRECT(Hours[[#This Row],[table]]&amp;"[code]"),{"a","x",""})),"")</f>
        <v>0</v>
      </c>
      <c r="M34" s="36">
        <f ca="1">IFERROR(SUMIFS(INDIRECT(Hours[[#This Row],[table]]&amp;"[real time]"),INDIRECT(Hours[[#This Row],[table]]&amp;"[employee]"),C34,INDIRECT(Hours[[#This Row],[table]]&amp;"[date]"),F34,INDIRECT(Hours[[#This Row],[table]]&amp;"[code]"),"m"),"")</f>
        <v>0</v>
      </c>
      <c r="N34" s="36">
        <f ca="1">IFERROR(SUMIFS(INDIRECT(Hours[[#This Row],[table]]&amp;"[real time]"),INDIRECT(Hours[[#This Row],[table]]&amp;"[employee]"),C34,INDIRECT(Hours[[#This Row],[table]]&amp;"[date]"),F34,INDIRECT(Hours[[#This Row],[table]]&amp;"[code]"),"e"),"")</f>
        <v>0</v>
      </c>
    </row>
    <row r="35" spans="1:14" x14ac:dyDescent="0.25">
      <c r="A35" s="28" t="s">
        <v>48</v>
      </c>
      <c r="B35" s="28" t="s">
        <v>49</v>
      </c>
      <c r="C35" s="1" t="s">
        <v>50</v>
      </c>
      <c r="D35" s="32" t="str">
        <f>IF(NOT(ISBLANK(Hours[[#This Row],[employee]])),IF(ISNUMBER(Hours[[#This Row],[employee]]),"REG","CON"),"")</f>
        <v>CON</v>
      </c>
      <c r="E35" s="32" t="str">
        <f>IF(Hours[[#This Row],[cat]]="CON","Contractors",IF(Hours[[#This Row],[cat]]="REG","Employees",""))</f>
        <v>Contractors</v>
      </c>
      <c r="F35" s="34">
        <v>44167</v>
      </c>
      <c r="G35" s="35">
        <v>0.22500000000000001</v>
      </c>
      <c r="H35" s="35">
        <v>0.70833333333333337</v>
      </c>
      <c r="I35" s="29">
        <f>IF(H35&lt;G35,24+H35-G35,H35-G35)</f>
        <v>0.48333333333333339</v>
      </c>
      <c r="J35" s="36">
        <v>0.45833333333333331</v>
      </c>
      <c r="K35" s="36">
        <f ca="1">IFERROR(SUMIFS(INDIRECT(Hours[[#This Row],[table]]&amp;"[real time]"),INDIRECT(Hours[[#This Row],[table]]&amp;"[employee]"),C35,INDIRECT(Hours[[#This Row],[table]]&amp;"[date]"),F35),"")</f>
        <v>0</v>
      </c>
      <c r="L35" s="36">
        <f ca="1">IFERROR(SUM(SUMIFS(INDIRECT(Hours[[#This Row],[table]]&amp;"[real time]"),INDIRECT(Hours[[#This Row],[table]]&amp;"[employee]"),C35,INDIRECT(Hours[[#This Row],[table]]&amp;"[date]"),F35,INDIRECT(Hours[[#This Row],[table]]&amp;"[code]"),{"a","x",""})),"")</f>
        <v>0</v>
      </c>
      <c r="M35" s="36">
        <f ca="1">IFERROR(SUMIFS(INDIRECT(Hours[[#This Row],[table]]&amp;"[real time]"),INDIRECT(Hours[[#This Row],[table]]&amp;"[employee]"),C35,INDIRECT(Hours[[#This Row],[table]]&amp;"[date]"),F35,INDIRECT(Hours[[#This Row],[table]]&amp;"[code]"),"m"),"")</f>
        <v>0</v>
      </c>
      <c r="N35" s="36">
        <f ca="1">IFERROR(SUMIFS(INDIRECT(Hours[[#This Row],[table]]&amp;"[real time]"),INDIRECT(Hours[[#This Row],[table]]&amp;"[employee]"),C35,INDIRECT(Hours[[#This Row],[table]]&amp;"[date]"),F35,INDIRECT(Hours[[#This Row],[table]]&amp;"[code]"),"e"),"")</f>
        <v>0</v>
      </c>
    </row>
    <row r="36" spans="1:14" x14ac:dyDescent="0.25">
      <c r="A36" s="28" t="s">
        <v>48</v>
      </c>
      <c r="B36" s="28" t="s">
        <v>49</v>
      </c>
      <c r="C36" s="1" t="s">
        <v>50</v>
      </c>
      <c r="D36" s="32" t="str">
        <f>IF(NOT(ISBLANK(Hours[[#This Row],[employee]])),IF(ISNUMBER(Hours[[#This Row],[employee]]),"REG","CON"),"")</f>
        <v>CON</v>
      </c>
      <c r="E36" s="32" t="str">
        <f>IF(Hours[[#This Row],[cat]]="CON","Contractors",IF(Hours[[#This Row],[cat]]="REG","Employees",""))</f>
        <v>Contractors</v>
      </c>
      <c r="F36" s="34">
        <v>44168</v>
      </c>
      <c r="G36" s="35">
        <v>0.22847222222222222</v>
      </c>
      <c r="H36" s="35">
        <v>0.70972222222222225</v>
      </c>
      <c r="I36" s="29">
        <f>IF(H36&lt;G36,24+H36-G36,H36-G36)</f>
        <v>0.48125000000000007</v>
      </c>
      <c r="J36" s="36">
        <v>0.45833333333333331</v>
      </c>
      <c r="K36" s="36">
        <f ca="1">IFERROR(SUMIFS(INDIRECT(Hours[[#This Row],[table]]&amp;"[real time]"),INDIRECT(Hours[[#This Row],[table]]&amp;"[employee]"),C36,INDIRECT(Hours[[#This Row],[table]]&amp;"[date]"),F36),"")</f>
        <v>0</v>
      </c>
      <c r="L36" s="36">
        <f ca="1">IFERROR(SUM(SUMIFS(INDIRECT(Hours[[#This Row],[table]]&amp;"[real time]"),INDIRECT(Hours[[#This Row],[table]]&amp;"[employee]"),C36,INDIRECT(Hours[[#This Row],[table]]&amp;"[date]"),F36,INDIRECT(Hours[[#This Row],[table]]&amp;"[code]"),{"a","x",""})),"")</f>
        <v>0</v>
      </c>
      <c r="M36" s="36">
        <f ca="1">IFERROR(SUMIFS(INDIRECT(Hours[[#This Row],[table]]&amp;"[real time]"),INDIRECT(Hours[[#This Row],[table]]&amp;"[employee]"),C36,INDIRECT(Hours[[#This Row],[table]]&amp;"[date]"),F36,INDIRECT(Hours[[#This Row],[table]]&amp;"[code]"),"m"),"")</f>
        <v>0</v>
      </c>
      <c r="N36" s="36">
        <f ca="1">IFERROR(SUMIFS(INDIRECT(Hours[[#This Row],[table]]&amp;"[real time]"),INDIRECT(Hours[[#This Row],[table]]&amp;"[employee]"),C36,INDIRECT(Hours[[#This Row],[table]]&amp;"[date]"),F36,INDIRECT(Hours[[#This Row],[table]]&amp;"[code]"),"e"),"")</f>
        <v>0</v>
      </c>
    </row>
    <row r="37" spans="1:14" x14ac:dyDescent="0.25">
      <c r="A37" s="28" t="s">
        <v>48</v>
      </c>
      <c r="B37" s="28" t="s">
        <v>49</v>
      </c>
      <c r="C37" s="1" t="s">
        <v>50</v>
      </c>
      <c r="D37" s="32" t="str">
        <f>IF(NOT(ISBLANK(Hours[[#This Row],[employee]])),IF(ISNUMBER(Hours[[#This Row],[employee]]),"REG","CON"),"")</f>
        <v>CON</v>
      </c>
      <c r="E37" s="32" t="str">
        <f>IF(Hours[[#This Row],[cat]]="CON","Contractors",IF(Hours[[#This Row],[cat]]="REG","Employees",""))</f>
        <v>Contractors</v>
      </c>
      <c r="F37" s="34">
        <v>44169</v>
      </c>
      <c r="G37" s="35">
        <v>0.26805555555555555</v>
      </c>
      <c r="H37" s="35">
        <v>0.70833333333333337</v>
      </c>
      <c r="I37" s="29">
        <f>IF(H37&lt;G37,24+H37-G37,H37-G37)</f>
        <v>0.44027777777777782</v>
      </c>
      <c r="J37" s="36">
        <v>0.41666666666666669</v>
      </c>
      <c r="K37" s="36">
        <f ca="1">IFERROR(SUMIFS(INDIRECT(Hours[[#This Row],[table]]&amp;"[real time]"),INDIRECT(Hours[[#This Row],[table]]&amp;"[employee]"),C37,INDIRECT(Hours[[#This Row],[table]]&amp;"[date]"),F37),"")</f>
        <v>0</v>
      </c>
      <c r="L37" s="36">
        <f ca="1">IFERROR(SUM(SUMIFS(INDIRECT(Hours[[#This Row],[table]]&amp;"[real time]"),INDIRECT(Hours[[#This Row],[table]]&amp;"[employee]"),C37,INDIRECT(Hours[[#This Row],[table]]&amp;"[date]"),F37,INDIRECT(Hours[[#This Row],[table]]&amp;"[code]"),{"a","x",""})),"")</f>
        <v>0</v>
      </c>
      <c r="M37" s="36">
        <f ca="1">IFERROR(SUMIFS(INDIRECT(Hours[[#This Row],[table]]&amp;"[real time]"),INDIRECT(Hours[[#This Row],[table]]&amp;"[employee]"),C37,INDIRECT(Hours[[#This Row],[table]]&amp;"[date]"),F37,INDIRECT(Hours[[#This Row],[table]]&amp;"[code]"),"m"),"")</f>
        <v>0</v>
      </c>
      <c r="N37" s="36">
        <f ca="1">IFERROR(SUMIFS(INDIRECT(Hours[[#This Row],[table]]&amp;"[real time]"),INDIRECT(Hours[[#This Row],[table]]&amp;"[employee]"),C37,INDIRECT(Hours[[#This Row],[table]]&amp;"[date]"),F37,INDIRECT(Hours[[#This Row],[table]]&amp;"[code]"),"e"),"")</f>
        <v>0</v>
      </c>
    </row>
    <row r="38" spans="1:14" x14ac:dyDescent="0.25">
      <c r="A38" s="28" t="s">
        <v>51</v>
      </c>
      <c r="B38" s="28" t="s">
        <v>52</v>
      </c>
      <c r="C38" s="1" t="s">
        <v>39</v>
      </c>
      <c r="D38" s="32" t="str">
        <f>IF(NOT(ISBLANK(Hours[[#This Row],[employee]])),IF(ISNUMBER(Hours[[#This Row],[employee]]),"REG","CON"),"")</f>
        <v>CON</v>
      </c>
      <c r="E38" s="32" t="str">
        <f>IF(Hours[[#This Row],[cat]]="CON","Contractors",IF(Hours[[#This Row],[cat]]="REG","Employees",""))</f>
        <v>Contractors</v>
      </c>
      <c r="F38" s="34">
        <v>44160</v>
      </c>
      <c r="G38" s="35">
        <v>0.67361111111111116</v>
      </c>
      <c r="H38" s="35">
        <v>8.3333333333333329E-2</v>
      </c>
      <c r="I38" s="29">
        <f>IF(H38&lt;G38,24+H38-G38,H38-G38)</f>
        <v>23.409722222222221</v>
      </c>
      <c r="J38" s="36">
        <v>0.375</v>
      </c>
      <c r="K38" s="36">
        <f ca="1">IFERROR(SUMIFS(INDIRECT(Hours[[#This Row],[table]]&amp;"[real time]"),INDIRECT(Hours[[#This Row],[table]]&amp;"[employee]"),C38,INDIRECT(Hours[[#This Row],[table]]&amp;"[date]"),F38),"")</f>
        <v>0</v>
      </c>
      <c r="L38" s="36">
        <f ca="1">IFERROR(SUM(SUMIFS(INDIRECT(Hours[[#This Row],[table]]&amp;"[real time]"),INDIRECT(Hours[[#This Row],[table]]&amp;"[employee]"),C38,INDIRECT(Hours[[#This Row],[table]]&amp;"[date]"),F38,INDIRECT(Hours[[#This Row],[table]]&amp;"[code]"),{"a","x",""})),"")</f>
        <v>0</v>
      </c>
      <c r="M38" s="36">
        <f ca="1">IFERROR(SUMIFS(INDIRECT(Hours[[#This Row],[table]]&amp;"[real time]"),INDIRECT(Hours[[#This Row],[table]]&amp;"[employee]"),C38,INDIRECT(Hours[[#This Row],[table]]&amp;"[date]"),F38,INDIRECT(Hours[[#This Row],[table]]&amp;"[code]"),"m"),"")</f>
        <v>0</v>
      </c>
      <c r="N38" s="36">
        <f ca="1">IFERROR(SUMIFS(INDIRECT(Hours[[#This Row],[table]]&amp;"[real time]"),INDIRECT(Hours[[#This Row],[table]]&amp;"[employee]"),C38,INDIRECT(Hours[[#This Row],[table]]&amp;"[date]"),F38,INDIRECT(Hours[[#This Row],[table]]&amp;"[code]"),"e"),"")</f>
        <v>0</v>
      </c>
    </row>
    <row r="39" spans="1:14" x14ac:dyDescent="0.25">
      <c r="A39" s="28" t="s">
        <v>51</v>
      </c>
      <c r="B39" s="28" t="s">
        <v>52</v>
      </c>
      <c r="C39" s="28" t="s">
        <v>39</v>
      </c>
      <c r="D39" s="32" t="str">
        <f>IF(NOT(ISBLANK(Hours[[#This Row],[employee]])),IF(ISNUMBER(Hours[[#This Row],[employee]]),"REG","CON"),"")</f>
        <v>CON</v>
      </c>
      <c r="E39" s="32" t="str">
        <f>IF(Hours[[#This Row],[cat]]="CON","Contractors",IF(Hours[[#This Row],[cat]]="REG","Employees",""))</f>
        <v>Contractors</v>
      </c>
      <c r="F39" s="34">
        <v>44161</v>
      </c>
      <c r="G39" s="35">
        <v>0.67361111111111116</v>
      </c>
      <c r="H39" s="35">
        <v>8.3333333333333329E-2</v>
      </c>
      <c r="I39" s="29">
        <f t="shared" ref="I39:I45" si="1">IF(H39&lt;G39,24+H39-G39,H39-G39)</f>
        <v>23.409722222222221</v>
      </c>
      <c r="J39" s="36">
        <v>0.375</v>
      </c>
      <c r="K39" s="36">
        <f ca="1">IFERROR(SUMIFS(INDIRECT(Hours[[#This Row],[table]]&amp;"[real time]"),INDIRECT(Hours[[#This Row],[table]]&amp;"[employee]"),C39,INDIRECT(Hours[[#This Row],[table]]&amp;"[date]"),F39),"")</f>
        <v>0</v>
      </c>
      <c r="L39" s="36">
        <f ca="1">IFERROR(SUM(SUMIFS(INDIRECT(Hours[[#This Row],[table]]&amp;"[real time]"),INDIRECT(Hours[[#This Row],[table]]&amp;"[employee]"),C39,INDIRECT(Hours[[#This Row],[table]]&amp;"[date]"),F39,INDIRECT(Hours[[#This Row],[table]]&amp;"[code]"),{"a","x",""})),"")</f>
        <v>0</v>
      </c>
      <c r="M39" s="36">
        <f ca="1">IFERROR(SUMIFS(INDIRECT(Hours[[#This Row],[table]]&amp;"[real time]"),INDIRECT(Hours[[#This Row],[table]]&amp;"[employee]"),C39,INDIRECT(Hours[[#This Row],[table]]&amp;"[date]"),F39,INDIRECT(Hours[[#This Row],[table]]&amp;"[code]"),"m"),"")</f>
        <v>0</v>
      </c>
      <c r="N39" s="36">
        <f ca="1">IFERROR(SUMIFS(INDIRECT(Hours[[#This Row],[table]]&amp;"[real time]"),INDIRECT(Hours[[#This Row],[table]]&amp;"[employee]"),C39,INDIRECT(Hours[[#This Row],[table]]&amp;"[date]"),F39,INDIRECT(Hours[[#This Row],[table]]&amp;"[code]"),"e"),"")</f>
        <v>0</v>
      </c>
    </row>
    <row r="40" spans="1:14" x14ac:dyDescent="0.25">
      <c r="A40" s="28" t="s">
        <v>51</v>
      </c>
      <c r="B40" s="28" t="s">
        <v>52</v>
      </c>
      <c r="C40" s="28" t="s">
        <v>39</v>
      </c>
      <c r="D40" s="32" t="str">
        <f>IF(NOT(ISBLANK(Hours[[#This Row],[employee]])),IF(ISNUMBER(Hours[[#This Row],[employee]]),"REG","CON"),"")</f>
        <v>CON</v>
      </c>
      <c r="E40" s="32" t="str">
        <f>IF(Hours[[#This Row],[cat]]="CON","Contractors",IF(Hours[[#This Row],[cat]]="REG","Employees",""))</f>
        <v>Contractors</v>
      </c>
      <c r="F40" s="34">
        <v>44162</v>
      </c>
      <c r="G40" s="35">
        <v>0.68263888888888891</v>
      </c>
      <c r="H40" s="35">
        <v>4.1666666666666664E-2</v>
      </c>
      <c r="I40" s="29">
        <f t="shared" si="1"/>
        <v>23.359027777777779</v>
      </c>
      <c r="J40" s="36">
        <v>0.33333333333333331</v>
      </c>
      <c r="K40" s="36">
        <f ca="1">IFERROR(SUMIFS(INDIRECT(Hours[[#This Row],[table]]&amp;"[real time]"),INDIRECT(Hours[[#This Row],[table]]&amp;"[employee]"),C40,INDIRECT(Hours[[#This Row],[table]]&amp;"[date]"),F40),"")</f>
        <v>0</v>
      </c>
      <c r="L40" s="36">
        <f ca="1">IFERROR(SUM(SUMIFS(INDIRECT(Hours[[#This Row],[table]]&amp;"[real time]"),INDIRECT(Hours[[#This Row],[table]]&amp;"[employee]"),C40,INDIRECT(Hours[[#This Row],[table]]&amp;"[date]"),F40,INDIRECT(Hours[[#This Row],[table]]&amp;"[code]"),{"a","x",""})),"")</f>
        <v>0</v>
      </c>
      <c r="M40" s="36">
        <f ca="1">IFERROR(SUMIFS(INDIRECT(Hours[[#This Row],[table]]&amp;"[real time]"),INDIRECT(Hours[[#This Row],[table]]&amp;"[employee]"),C40,INDIRECT(Hours[[#This Row],[table]]&amp;"[date]"),F40,INDIRECT(Hours[[#This Row],[table]]&amp;"[code]"),"m"),"")</f>
        <v>0</v>
      </c>
      <c r="N40" s="36">
        <f ca="1">IFERROR(SUMIFS(INDIRECT(Hours[[#This Row],[table]]&amp;"[real time]"),INDIRECT(Hours[[#This Row],[table]]&amp;"[employee]"),C40,INDIRECT(Hours[[#This Row],[table]]&amp;"[date]"),F40,INDIRECT(Hours[[#This Row],[table]]&amp;"[code]"),"e"),"")</f>
        <v>0</v>
      </c>
    </row>
    <row r="41" spans="1:14" x14ac:dyDescent="0.25">
      <c r="A41" s="28" t="s">
        <v>51</v>
      </c>
      <c r="B41" s="28" t="s">
        <v>52</v>
      </c>
      <c r="C41" s="28" t="s">
        <v>39</v>
      </c>
      <c r="D41" s="32" t="str">
        <f>IF(NOT(ISBLANK(Hours[[#This Row],[employee]])),IF(ISNUMBER(Hours[[#This Row],[employee]]),"REG","CON"),"")</f>
        <v>CON</v>
      </c>
      <c r="E41" s="32" t="str">
        <f>IF(Hours[[#This Row],[cat]]="CON","Contractors",IF(Hours[[#This Row],[cat]]="REG","Employees",""))</f>
        <v>Contractors</v>
      </c>
      <c r="F41" s="34">
        <v>44164</v>
      </c>
      <c r="G41" s="35">
        <v>0.68333333333333324</v>
      </c>
      <c r="H41" s="35">
        <v>8.3333333333333329E-2</v>
      </c>
      <c r="I41" s="29">
        <f t="shared" si="1"/>
        <v>23.4</v>
      </c>
      <c r="J41" s="36">
        <v>0.375</v>
      </c>
      <c r="K41" s="36">
        <f ca="1">IFERROR(SUMIFS(INDIRECT(Hours[[#This Row],[table]]&amp;"[real time]"),INDIRECT(Hours[[#This Row],[table]]&amp;"[employee]"),C41,INDIRECT(Hours[[#This Row],[table]]&amp;"[date]"),F41),"")</f>
        <v>0</v>
      </c>
      <c r="L41" s="36">
        <f ca="1">IFERROR(SUM(SUMIFS(INDIRECT(Hours[[#This Row],[table]]&amp;"[real time]"),INDIRECT(Hours[[#This Row],[table]]&amp;"[employee]"),C41,INDIRECT(Hours[[#This Row],[table]]&amp;"[date]"),F41,INDIRECT(Hours[[#This Row],[table]]&amp;"[code]"),{"a","x",""})),"")</f>
        <v>0</v>
      </c>
      <c r="M41" s="36">
        <f ca="1">IFERROR(SUMIFS(INDIRECT(Hours[[#This Row],[table]]&amp;"[real time]"),INDIRECT(Hours[[#This Row],[table]]&amp;"[employee]"),C41,INDIRECT(Hours[[#This Row],[table]]&amp;"[date]"),F41,INDIRECT(Hours[[#This Row],[table]]&amp;"[code]"),"m"),"")</f>
        <v>0</v>
      </c>
      <c r="N41" s="36">
        <f ca="1">IFERROR(SUMIFS(INDIRECT(Hours[[#This Row],[table]]&amp;"[real time]"),INDIRECT(Hours[[#This Row],[table]]&amp;"[employee]"),C41,INDIRECT(Hours[[#This Row],[table]]&amp;"[date]"),F41,INDIRECT(Hours[[#This Row],[table]]&amp;"[code]"),"e"),"")</f>
        <v>0</v>
      </c>
    </row>
    <row r="42" spans="1:14" x14ac:dyDescent="0.25">
      <c r="A42" s="28" t="s">
        <v>51</v>
      </c>
      <c r="B42" s="28" t="s">
        <v>52</v>
      </c>
      <c r="C42" s="28" t="s">
        <v>39</v>
      </c>
      <c r="D42" s="32" t="str">
        <f>IF(NOT(ISBLANK(Hours[[#This Row],[employee]])),IF(ISNUMBER(Hours[[#This Row],[employee]]),"REG","CON"),"")</f>
        <v>CON</v>
      </c>
      <c r="E42" s="32" t="str">
        <f>IF(Hours[[#This Row],[cat]]="CON","Contractors",IF(Hours[[#This Row],[cat]]="REG","Employees",""))</f>
        <v>Contractors</v>
      </c>
      <c r="F42" s="34">
        <v>44165</v>
      </c>
      <c r="G42" s="35">
        <v>0.67708333333333337</v>
      </c>
      <c r="H42" s="35">
        <v>8.4027777777777771E-2</v>
      </c>
      <c r="I42" s="29">
        <f t="shared" si="1"/>
        <v>23.406944444444445</v>
      </c>
      <c r="J42" s="36">
        <v>0.375</v>
      </c>
      <c r="K42" s="36">
        <f ca="1">IFERROR(SUMIFS(INDIRECT(Hours[[#This Row],[table]]&amp;"[real time]"),INDIRECT(Hours[[#This Row],[table]]&amp;"[employee]"),C42,INDIRECT(Hours[[#This Row],[table]]&amp;"[date]"),F42),"")</f>
        <v>0</v>
      </c>
      <c r="L42" s="36">
        <f ca="1">IFERROR(SUM(SUMIFS(INDIRECT(Hours[[#This Row],[table]]&amp;"[real time]"),INDIRECT(Hours[[#This Row],[table]]&amp;"[employee]"),C42,INDIRECT(Hours[[#This Row],[table]]&amp;"[date]"),F42,INDIRECT(Hours[[#This Row],[table]]&amp;"[code]"),{"a","x",""})),"")</f>
        <v>0</v>
      </c>
      <c r="M42" s="36">
        <f ca="1">IFERROR(SUMIFS(INDIRECT(Hours[[#This Row],[table]]&amp;"[real time]"),INDIRECT(Hours[[#This Row],[table]]&amp;"[employee]"),C42,INDIRECT(Hours[[#This Row],[table]]&amp;"[date]"),F42,INDIRECT(Hours[[#This Row],[table]]&amp;"[code]"),"m"),"")</f>
        <v>0</v>
      </c>
      <c r="N42" s="36">
        <f ca="1">IFERROR(SUMIFS(INDIRECT(Hours[[#This Row],[table]]&amp;"[real time]"),INDIRECT(Hours[[#This Row],[table]]&amp;"[employee]"),C42,INDIRECT(Hours[[#This Row],[table]]&amp;"[date]"),F42,INDIRECT(Hours[[#This Row],[table]]&amp;"[code]"),"e"),"")</f>
        <v>0</v>
      </c>
    </row>
    <row r="43" spans="1:14" x14ac:dyDescent="0.25">
      <c r="A43" s="28" t="s">
        <v>51</v>
      </c>
      <c r="B43" s="28" t="s">
        <v>52</v>
      </c>
      <c r="C43" s="28" t="s">
        <v>39</v>
      </c>
      <c r="D43" s="32" t="str">
        <f>IF(NOT(ISBLANK(Hours[[#This Row],[employee]])),IF(ISNUMBER(Hours[[#This Row],[employee]]),"REG","CON"),"")</f>
        <v>CON</v>
      </c>
      <c r="E43" s="32" t="str">
        <f>IF(Hours[[#This Row],[cat]]="CON","Contractors",IF(Hours[[#This Row],[cat]]="REG","Employees",""))</f>
        <v>Contractors</v>
      </c>
      <c r="F43" s="34">
        <v>44166</v>
      </c>
      <c r="G43" s="35">
        <v>0.68333333333333324</v>
      </c>
      <c r="H43" s="35">
        <v>8.3333333333333329E-2</v>
      </c>
      <c r="I43" s="29">
        <f t="shared" si="1"/>
        <v>23.4</v>
      </c>
      <c r="J43" s="36">
        <v>0.375</v>
      </c>
      <c r="K43" s="36">
        <f ca="1">IFERROR(SUMIFS(INDIRECT(Hours[[#This Row],[table]]&amp;"[real time]"),INDIRECT(Hours[[#This Row],[table]]&amp;"[employee]"),C43,INDIRECT(Hours[[#This Row],[table]]&amp;"[date]"),F43),"")</f>
        <v>0</v>
      </c>
      <c r="L43" s="36">
        <f ca="1">IFERROR(SUM(SUMIFS(INDIRECT(Hours[[#This Row],[table]]&amp;"[real time]"),INDIRECT(Hours[[#This Row],[table]]&amp;"[employee]"),C43,INDIRECT(Hours[[#This Row],[table]]&amp;"[date]"),F43,INDIRECT(Hours[[#This Row],[table]]&amp;"[code]"),{"a","x",""})),"")</f>
        <v>0</v>
      </c>
      <c r="M43" s="36">
        <f ca="1">IFERROR(SUMIFS(INDIRECT(Hours[[#This Row],[table]]&amp;"[real time]"),INDIRECT(Hours[[#This Row],[table]]&amp;"[employee]"),C43,INDIRECT(Hours[[#This Row],[table]]&amp;"[date]"),F43,INDIRECT(Hours[[#This Row],[table]]&amp;"[code]"),"m"),"")</f>
        <v>0</v>
      </c>
      <c r="N43" s="36">
        <f ca="1">IFERROR(SUMIFS(INDIRECT(Hours[[#This Row],[table]]&amp;"[real time]"),INDIRECT(Hours[[#This Row],[table]]&amp;"[employee]"),C43,INDIRECT(Hours[[#This Row],[table]]&amp;"[date]"),F43,INDIRECT(Hours[[#This Row],[table]]&amp;"[code]"),"e"),"")</f>
        <v>0</v>
      </c>
    </row>
    <row r="44" spans="1:14" x14ac:dyDescent="0.25">
      <c r="A44" s="28" t="s">
        <v>51</v>
      </c>
      <c r="B44" s="28" t="s">
        <v>52</v>
      </c>
      <c r="C44" s="28" t="s">
        <v>39</v>
      </c>
      <c r="D44" s="32" t="str">
        <f>IF(NOT(ISBLANK(Hours[[#This Row],[employee]])),IF(ISNUMBER(Hours[[#This Row],[employee]]),"REG","CON"),"")</f>
        <v>CON</v>
      </c>
      <c r="E44" s="32" t="str">
        <f>IF(Hours[[#This Row],[cat]]="CON","Contractors",IF(Hours[[#This Row],[cat]]="REG","Employees",""))</f>
        <v>Contractors</v>
      </c>
      <c r="F44" s="34">
        <v>44167</v>
      </c>
      <c r="G44" s="35">
        <v>0.67638888888888893</v>
      </c>
      <c r="H44" s="35">
        <v>8.6805555555555566E-2</v>
      </c>
      <c r="I44" s="29">
        <f t="shared" si="1"/>
        <v>23.41041666666667</v>
      </c>
      <c r="J44" s="36">
        <v>0.375</v>
      </c>
      <c r="K44" s="36">
        <f ca="1">IFERROR(SUMIFS(INDIRECT(Hours[[#This Row],[table]]&amp;"[real time]"),INDIRECT(Hours[[#This Row],[table]]&amp;"[employee]"),C44,INDIRECT(Hours[[#This Row],[table]]&amp;"[date]"),F44),"")</f>
        <v>0</v>
      </c>
      <c r="L44" s="36">
        <f ca="1">IFERROR(SUM(SUMIFS(INDIRECT(Hours[[#This Row],[table]]&amp;"[real time]"),INDIRECT(Hours[[#This Row],[table]]&amp;"[employee]"),C44,INDIRECT(Hours[[#This Row],[table]]&amp;"[date]"),F44,INDIRECT(Hours[[#This Row],[table]]&amp;"[code]"),{"a","x",""})),"")</f>
        <v>0</v>
      </c>
      <c r="M44" s="36">
        <f ca="1">IFERROR(SUMIFS(INDIRECT(Hours[[#This Row],[table]]&amp;"[real time]"),INDIRECT(Hours[[#This Row],[table]]&amp;"[employee]"),C44,INDIRECT(Hours[[#This Row],[table]]&amp;"[date]"),F44,INDIRECT(Hours[[#This Row],[table]]&amp;"[code]"),"m"),"")</f>
        <v>0</v>
      </c>
      <c r="N44" s="36">
        <f ca="1">IFERROR(SUMIFS(INDIRECT(Hours[[#This Row],[table]]&amp;"[real time]"),INDIRECT(Hours[[#This Row],[table]]&amp;"[employee]"),C44,INDIRECT(Hours[[#This Row],[table]]&amp;"[date]"),F44,INDIRECT(Hours[[#This Row],[table]]&amp;"[code]"),"e"),"")</f>
        <v>0</v>
      </c>
    </row>
    <row r="45" spans="1:14" x14ac:dyDescent="0.25">
      <c r="A45" s="28" t="s">
        <v>51</v>
      </c>
      <c r="B45" s="28" t="s">
        <v>52</v>
      </c>
      <c r="C45" s="28" t="s">
        <v>39</v>
      </c>
      <c r="D45" s="32" t="str">
        <f>IF(NOT(ISBLANK(Hours[[#This Row],[employee]])),IF(ISNUMBER(Hours[[#This Row],[employee]]),"REG","CON"),"")</f>
        <v>CON</v>
      </c>
      <c r="E45" s="32" t="str">
        <f>IF(Hours[[#This Row],[cat]]="CON","Contractors",IF(Hours[[#This Row],[cat]]="REG","Employees",""))</f>
        <v>Contractors</v>
      </c>
      <c r="F45" s="34">
        <v>44168</v>
      </c>
      <c r="G45" s="35">
        <v>0.67708333333333337</v>
      </c>
      <c r="H45" s="35">
        <v>8.3333333333333329E-2</v>
      </c>
      <c r="I45" s="29">
        <f t="shared" si="1"/>
        <v>23.40625</v>
      </c>
      <c r="J45" s="36">
        <v>0.375</v>
      </c>
      <c r="K45" s="36">
        <f ca="1">IFERROR(SUMIFS(INDIRECT(Hours[[#This Row],[table]]&amp;"[real time]"),INDIRECT(Hours[[#This Row],[table]]&amp;"[employee]"),C45,INDIRECT(Hours[[#This Row],[table]]&amp;"[date]"),F45),"")</f>
        <v>0</v>
      </c>
      <c r="L45" s="36">
        <f ca="1">IFERROR(SUM(SUMIFS(INDIRECT(Hours[[#This Row],[table]]&amp;"[real time]"),INDIRECT(Hours[[#This Row],[table]]&amp;"[employee]"),C45,INDIRECT(Hours[[#This Row],[table]]&amp;"[date]"),F45,INDIRECT(Hours[[#This Row],[table]]&amp;"[code]"),{"a","x",""})),"")</f>
        <v>0</v>
      </c>
      <c r="M45" s="36">
        <f ca="1">IFERROR(SUMIFS(INDIRECT(Hours[[#This Row],[table]]&amp;"[real time]"),INDIRECT(Hours[[#This Row],[table]]&amp;"[employee]"),C45,INDIRECT(Hours[[#This Row],[table]]&amp;"[date]"),F45,INDIRECT(Hours[[#This Row],[table]]&amp;"[code]"),"m"),"")</f>
        <v>0</v>
      </c>
      <c r="N45" s="36">
        <f ca="1">IFERROR(SUMIFS(INDIRECT(Hours[[#This Row],[table]]&amp;"[real time]"),INDIRECT(Hours[[#This Row],[table]]&amp;"[employee]"),C45,INDIRECT(Hours[[#This Row],[table]]&amp;"[date]"),F45,INDIRECT(Hours[[#This Row],[table]]&amp;"[code]"),"e"),"")</f>
        <v>0</v>
      </c>
    </row>
    <row r="46" spans="1:14" x14ac:dyDescent="0.25">
      <c r="A46" s="28" t="s">
        <v>51</v>
      </c>
      <c r="B46" s="28" t="s">
        <v>52</v>
      </c>
      <c r="C46" s="28" t="s">
        <v>39</v>
      </c>
      <c r="D46" s="32" t="str">
        <f>IF(NOT(ISBLANK(Hours[[#This Row],[employee]])),IF(ISNUMBER(Hours[[#This Row],[employee]]),"REG","CON"),"")</f>
        <v>CON</v>
      </c>
      <c r="E46" s="32" t="str">
        <f>IF(Hours[[#This Row],[cat]]="CON","Contractors",IF(Hours[[#This Row],[cat]]="REG","Employees",""))</f>
        <v>Contractors</v>
      </c>
      <c r="F46" s="34">
        <v>44169</v>
      </c>
      <c r="G46" s="35">
        <v>0.68055555555555547</v>
      </c>
      <c r="H46" s="35">
        <v>4.1666666666666664E-2</v>
      </c>
      <c r="I46" s="29">
        <f>IF(H46&lt;G46,24+H46-G46,H46-G46)</f>
        <v>23.361111111111111</v>
      </c>
      <c r="J46" s="36">
        <v>0.33333333333333331</v>
      </c>
      <c r="K46" s="36">
        <f ca="1">IFERROR(SUMIFS(INDIRECT(Hours[[#This Row],[table]]&amp;"[real time]"),INDIRECT(Hours[[#This Row],[table]]&amp;"[employee]"),C46,INDIRECT(Hours[[#This Row],[table]]&amp;"[date]"),F46),"")</f>
        <v>0</v>
      </c>
      <c r="L46" s="36">
        <f ca="1">IFERROR(SUM(SUMIFS(INDIRECT(Hours[[#This Row],[table]]&amp;"[real time]"),INDIRECT(Hours[[#This Row],[table]]&amp;"[employee]"),C46,INDIRECT(Hours[[#This Row],[table]]&amp;"[date]"),F46,INDIRECT(Hours[[#This Row],[table]]&amp;"[code]"),{"a","x",""})),"")</f>
        <v>0</v>
      </c>
      <c r="M46" s="36">
        <f ca="1">IFERROR(SUMIFS(INDIRECT(Hours[[#This Row],[table]]&amp;"[real time]"),INDIRECT(Hours[[#This Row],[table]]&amp;"[employee]"),C46,INDIRECT(Hours[[#This Row],[table]]&amp;"[date]"),F46,INDIRECT(Hours[[#This Row],[table]]&amp;"[code]"),"m"),"")</f>
        <v>0</v>
      </c>
      <c r="N46" s="36">
        <f ca="1">IFERROR(SUMIFS(INDIRECT(Hours[[#This Row],[table]]&amp;"[real time]"),INDIRECT(Hours[[#This Row],[table]]&amp;"[employee]"),C46,INDIRECT(Hours[[#This Row],[table]]&amp;"[date]"),F46,INDIRECT(Hours[[#This Row],[table]]&amp;"[code]"),"e"),"")</f>
        <v>0</v>
      </c>
    </row>
    <row r="47" spans="1:14" x14ac:dyDescent="0.25">
      <c r="A47" s="28" t="s">
        <v>53</v>
      </c>
      <c r="B47" s="28" t="s">
        <v>54</v>
      </c>
      <c r="C47" s="1" t="s">
        <v>55</v>
      </c>
      <c r="D47" s="32" t="str">
        <f>IF(NOT(ISBLANK(Hours[[#This Row],[employee]])),IF(ISNUMBER(Hours[[#This Row],[employee]]),"REG","CON"),"")</f>
        <v>CON</v>
      </c>
      <c r="E47" s="32" t="str">
        <f>IF(Hours[[#This Row],[cat]]="CON","Contractors",IF(Hours[[#This Row],[cat]]="REG","Employees",""))</f>
        <v>Contractors</v>
      </c>
      <c r="F47" s="34">
        <v>44161</v>
      </c>
      <c r="G47" s="35">
        <v>0.25763888888888892</v>
      </c>
      <c r="H47" s="35">
        <v>0.66805555555555562</v>
      </c>
      <c r="I47" s="29">
        <f>IF(H47&lt;G47,24+H47-G47,H47-G47)</f>
        <v>0.41041666666666671</v>
      </c>
      <c r="J47" s="36">
        <v>0.375</v>
      </c>
      <c r="K47" s="36">
        <f ca="1">IFERROR(SUMIFS(INDIRECT(Hours[[#This Row],[table]]&amp;"[real time]"),INDIRECT(Hours[[#This Row],[table]]&amp;"[employee]"),C47,INDIRECT(Hours[[#This Row],[table]]&amp;"[date]"),F47),"")</f>
        <v>0</v>
      </c>
      <c r="L47" s="36">
        <f ca="1">IFERROR(SUM(SUMIFS(INDIRECT(Hours[[#This Row],[table]]&amp;"[real time]"),INDIRECT(Hours[[#This Row],[table]]&amp;"[employee]"),C47,INDIRECT(Hours[[#This Row],[table]]&amp;"[date]"),F47,INDIRECT(Hours[[#This Row],[table]]&amp;"[code]"),{"a","x",""})),"")</f>
        <v>0</v>
      </c>
      <c r="M47" s="36">
        <f ca="1">IFERROR(SUMIFS(INDIRECT(Hours[[#This Row],[table]]&amp;"[real time]"),INDIRECT(Hours[[#This Row],[table]]&amp;"[employee]"),C47,INDIRECT(Hours[[#This Row],[table]]&amp;"[date]"),F47,INDIRECT(Hours[[#This Row],[table]]&amp;"[code]"),"m"),"")</f>
        <v>0</v>
      </c>
      <c r="N47" s="36">
        <f ca="1">IFERROR(SUMIFS(INDIRECT(Hours[[#This Row],[table]]&amp;"[real time]"),INDIRECT(Hours[[#This Row],[table]]&amp;"[employee]"),C47,INDIRECT(Hours[[#This Row],[table]]&amp;"[date]"),F47,INDIRECT(Hours[[#This Row],[table]]&amp;"[code]"),"e"),"")</f>
        <v>0</v>
      </c>
    </row>
    <row r="48" spans="1:14" x14ac:dyDescent="0.25">
      <c r="A48" s="28" t="s">
        <v>53</v>
      </c>
      <c r="B48" s="28" t="s">
        <v>54</v>
      </c>
      <c r="C48" s="1" t="s">
        <v>55</v>
      </c>
      <c r="D48" s="32" t="str">
        <f>IF(NOT(ISBLANK(Hours[[#This Row],[employee]])),IF(ISNUMBER(Hours[[#This Row],[employee]]),"REG","CON"),"")</f>
        <v>CON</v>
      </c>
      <c r="E48" s="32" t="str">
        <f>IF(Hours[[#This Row],[cat]]="CON","Contractors",IF(Hours[[#This Row],[cat]]="REG","Employees",""))</f>
        <v>Contractors</v>
      </c>
      <c r="F48" s="34">
        <v>44162</v>
      </c>
      <c r="G48" s="35">
        <v>0.26250000000000001</v>
      </c>
      <c r="H48" s="35">
        <v>0.67708333333333337</v>
      </c>
      <c r="I48" s="29">
        <f>IF(H48&lt;G48,24+H48-G48,H48-G48)</f>
        <v>0.41458333333333336</v>
      </c>
      <c r="J48" s="36">
        <v>0.375</v>
      </c>
      <c r="K48" s="36">
        <f ca="1">IFERROR(SUMIFS(INDIRECT(Hours[[#This Row],[table]]&amp;"[real time]"),INDIRECT(Hours[[#This Row],[table]]&amp;"[employee]"),C48,INDIRECT(Hours[[#This Row],[table]]&amp;"[date]"),F48),"")</f>
        <v>0</v>
      </c>
      <c r="L48" s="36">
        <f ca="1">IFERROR(SUM(SUMIFS(INDIRECT(Hours[[#This Row],[table]]&amp;"[real time]"),INDIRECT(Hours[[#This Row],[table]]&amp;"[employee]"),C48,INDIRECT(Hours[[#This Row],[table]]&amp;"[date]"),F48,INDIRECT(Hours[[#This Row],[table]]&amp;"[code]"),{"a","x",""})),"")</f>
        <v>0</v>
      </c>
      <c r="M48" s="36">
        <f ca="1">IFERROR(SUMIFS(INDIRECT(Hours[[#This Row],[table]]&amp;"[real time]"),INDIRECT(Hours[[#This Row],[table]]&amp;"[employee]"),C48,INDIRECT(Hours[[#This Row],[table]]&amp;"[date]"),F48,INDIRECT(Hours[[#This Row],[table]]&amp;"[code]"),"m"),"")</f>
        <v>0</v>
      </c>
      <c r="N48" s="36">
        <f ca="1">IFERROR(SUMIFS(INDIRECT(Hours[[#This Row],[table]]&amp;"[real time]"),INDIRECT(Hours[[#This Row],[table]]&amp;"[employee]"),C48,INDIRECT(Hours[[#This Row],[table]]&amp;"[date]"),F48,INDIRECT(Hours[[#This Row],[table]]&amp;"[code]"),"e"),"")</f>
        <v>0</v>
      </c>
    </row>
    <row r="49" spans="1:14" x14ac:dyDescent="0.25">
      <c r="A49" s="28" t="s">
        <v>53</v>
      </c>
      <c r="B49" s="28" t="s">
        <v>54</v>
      </c>
      <c r="C49" s="1" t="s">
        <v>55</v>
      </c>
      <c r="D49" s="32" t="str">
        <f>IF(NOT(ISBLANK(Hours[[#This Row],[employee]])),IF(ISNUMBER(Hours[[#This Row],[employee]]),"REG","CON"),"")</f>
        <v>CON</v>
      </c>
      <c r="E49" s="32" t="str">
        <f>IF(Hours[[#This Row],[cat]]="CON","Contractors",IF(Hours[[#This Row],[cat]]="REG","Employees",""))</f>
        <v>Contractors</v>
      </c>
      <c r="F49" s="34">
        <v>44163</v>
      </c>
      <c r="G49" s="35">
        <v>0.2638888888888889</v>
      </c>
      <c r="H49" s="35">
        <v>0.62916666666666665</v>
      </c>
      <c r="I49" s="29">
        <f>IF(H49&lt;G49,24+H49-G49,H49-G49)</f>
        <v>0.36527777777777776</v>
      </c>
      <c r="J49" s="36">
        <v>0.3125</v>
      </c>
      <c r="K49" s="36">
        <f ca="1">IFERROR(SUMIFS(INDIRECT(Hours[[#This Row],[table]]&amp;"[real time]"),INDIRECT(Hours[[#This Row],[table]]&amp;"[employee]"),C49,INDIRECT(Hours[[#This Row],[table]]&amp;"[date]"),F49),"")</f>
        <v>0</v>
      </c>
      <c r="L49" s="36">
        <f ca="1">IFERROR(SUM(SUMIFS(INDIRECT(Hours[[#This Row],[table]]&amp;"[real time]"),INDIRECT(Hours[[#This Row],[table]]&amp;"[employee]"),C49,INDIRECT(Hours[[#This Row],[table]]&amp;"[date]"),F49,INDIRECT(Hours[[#This Row],[table]]&amp;"[code]"),{"a","x",""})),"")</f>
        <v>0</v>
      </c>
      <c r="M49" s="36">
        <f ca="1">IFERROR(SUMIFS(INDIRECT(Hours[[#This Row],[table]]&amp;"[real time]"),INDIRECT(Hours[[#This Row],[table]]&amp;"[employee]"),C49,INDIRECT(Hours[[#This Row],[table]]&amp;"[date]"),F49,INDIRECT(Hours[[#This Row],[table]]&amp;"[code]"),"m"),"")</f>
        <v>0</v>
      </c>
      <c r="N49" s="36">
        <f ca="1">IFERROR(SUMIFS(INDIRECT(Hours[[#This Row],[table]]&amp;"[real time]"),INDIRECT(Hours[[#This Row],[table]]&amp;"[employee]"),C49,INDIRECT(Hours[[#This Row],[table]]&amp;"[date]"),F49,INDIRECT(Hours[[#This Row],[table]]&amp;"[code]"),"e"),"")</f>
        <v>0</v>
      </c>
    </row>
    <row r="50" spans="1:14" x14ac:dyDescent="0.25">
      <c r="A50" s="28" t="s">
        <v>53</v>
      </c>
      <c r="B50" s="28" t="s">
        <v>54</v>
      </c>
      <c r="C50" s="1" t="s">
        <v>55</v>
      </c>
      <c r="D50" s="32" t="str">
        <f>IF(NOT(ISBLANK(Hours[[#This Row],[employee]])),IF(ISNUMBER(Hours[[#This Row],[employee]]),"REG","CON"),"")</f>
        <v>CON</v>
      </c>
      <c r="E50" s="32" t="str">
        <f>IF(Hours[[#This Row],[cat]]="CON","Contractors",IF(Hours[[#This Row],[cat]]="REG","Employees",""))</f>
        <v>Contractors</v>
      </c>
      <c r="F50" s="34">
        <v>44165</v>
      </c>
      <c r="G50" s="35">
        <v>0.26180555555555557</v>
      </c>
      <c r="H50" s="35">
        <v>0.67152777777777783</v>
      </c>
      <c r="I50" s="29">
        <f>IF(H50&lt;G50,24+H50-G50,H50-G50)</f>
        <v>0.40972222222222227</v>
      </c>
      <c r="J50" s="36">
        <v>0.375</v>
      </c>
      <c r="K50" s="36">
        <f ca="1">IFERROR(SUMIFS(INDIRECT(Hours[[#This Row],[table]]&amp;"[real time]"),INDIRECT(Hours[[#This Row],[table]]&amp;"[employee]"),C50,INDIRECT(Hours[[#This Row],[table]]&amp;"[date]"),F50),"")</f>
        <v>0</v>
      </c>
      <c r="L50" s="36">
        <f ca="1">IFERROR(SUM(SUMIFS(INDIRECT(Hours[[#This Row],[table]]&amp;"[real time]"),INDIRECT(Hours[[#This Row],[table]]&amp;"[employee]"),C50,INDIRECT(Hours[[#This Row],[table]]&amp;"[date]"),F50,INDIRECT(Hours[[#This Row],[table]]&amp;"[code]"),{"a","x",""})),"")</f>
        <v>0</v>
      </c>
      <c r="M50" s="36">
        <f ca="1">IFERROR(SUMIFS(INDIRECT(Hours[[#This Row],[table]]&amp;"[real time]"),INDIRECT(Hours[[#This Row],[table]]&amp;"[employee]"),C50,INDIRECT(Hours[[#This Row],[table]]&amp;"[date]"),F50,INDIRECT(Hours[[#This Row],[table]]&amp;"[code]"),"m"),"")</f>
        <v>0</v>
      </c>
      <c r="N50" s="36">
        <f ca="1">IFERROR(SUMIFS(INDIRECT(Hours[[#This Row],[table]]&amp;"[real time]"),INDIRECT(Hours[[#This Row],[table]]&amp;"[employee]"),C50,INDIRECT(Hours[[#This Row],[table]]&amp;"[date]"),F50,INDIRECT(Hours[[#This Row],[table]]&amp;"[code]"),"e"),"")</f>
        <v>0</v>
      </c>
    </row>
    <row r="51" spans="1:14" x14ac:dyDescent="0.25">
      <c r="A51" s="28" t="s">
        <v>53</v>
      </c>
      <c r="B51" s="28" t="s">
        <v>54</v>
      </c>
      <c r="C51" s="1" t="s">
        <v>55</v>
      </c>
      <c r="D51" s="32" t="str">
        <f>IF(NOT(ISBLANK(Hours[[#This Row],[employee]])),IF(ISNUMBER(Hours[[#This Row],[employee]]),"REG","CON"),"")</f>
        <v>CON</v>
      </c>
      <c r="E51" s="32" t="str">
        <f>IF(Hours[[#This Row],[cat]]="CON","Contractors",IF(Hours[[#This Row],[cat]]="REG","Employees",""))</f>
        <v>Contractors</v>
      </c>
      <c r="F51" s="34">
        <v>44166</v>
      </c>
      <c r="G51" s="35">
        <v>0.25486111111111109</v>
      </c>
      <c r="H51" s="35">
        <v>0.66805555555555562</v>
      </c>
      <c r="I51" s="29">
        <f>IF(H51&lt;G51,24+H51-G51,H51-G51)</f>
        <v>0.41319444444444453</v>
      </c>
      <c r="J51" s="36">
        <v>0.375</v>
      </c>
      <c r="K51" s="36">
        <f ca="1">IFERROR(SUMIFS(INDIRECT(Hours[[#This Row],[table]]&amp;"[real time]"),INDIRECT(Hours[[#This Row],[table]]&amp;"[employee]"),C51,INDIRECT(Hours[[#This Row],[table]]&amp;"[date]"),F51),"")</f>
        <v>0</v>
      </c>
      <c r="L51" s="36">
        <f ca="1">IFERROR(SUM(SUMIFS(INDIRECT(Hours[[#This Row],[table]]&amp;"[real time]"),INDIRECT(Hours[[#This Row],[table]]&amp;"[employee]"),C51,INDIRECT(Hours[[#This Row],[table]]&amp;"[date]"),F51,INDIRECT(Hours[[#This Row],[table]]&amp;"[code]"),{"a","x",""})),"")</f>
        <v>0</v>
      </c>
      <c r="M51" s="36">
        <f ca="1">IFERROR(SUMIFS(INDIRECT(Hours[[#This Row],[table]]&amp;"[real time]"),INDIRECT(Hours[[#This Row],[table]]&amp;"[employee]"),C51,INDIRECT(Hours[[#This Row],[table]]&amp;"[date]"),F51,INDIRECT(Hours[[#This Row],[table]]&amp;"[code]"),"m"),"")</f>
        <v>0</v>
      </c>
      <c r="N51" s="36">
        <f ca="1">IFERROR(SUMIFS(INDIRECT(Hours[[#This Row],[table]]&amp;"[real time]"),INDIRECT(Hours[[#This Row],[table]]&amp;"[employee]"),C51,INDIRECT(Hours[[#This Row],[table]]&amp;"[date]"),F51,INDIRECT(Hours[[#This Row],[table]]&amp;"[code]"),"e"),"")</f>
        <v>0</v>
      </c>
    </row>
    <row r="52" spans="1:14" x14ac:dyDescent="0.25">
      <c r="A52" s="28" t="s">
        <v>53</v>
      </c>
      <c r="B52" s="28" t="s">
        <v>54</v>
      </c>
      <c r="C52" s="1" t="s">
        <v>55</v>
      </c>
      <c r="D52" s="32" t="str">
        <f>IF(NOT(ISBLANK(Hours[[#This Row],[employee]])),IF(ISNUMBER(Hours[[#This Row],[employee]]),"REG","CON"),"")</f>
        <v>CON</v>
      </c>
      <c r="E52" s="32" t="str">
        <f>IF(Hours[[#This Row],[cat]]="CON","Contractors",IF(Hours[[#This Row],[cat]]="REG","Employees",""))</f>
        <v>Contractors</v>
      </c>
      <c r="F52" s="34">
        <v>44167</v>
      </c>
      <c r="G52" s="35">
        <v>0.25416666666666665</v>
      </c>
      <c r="H52" s="35">
        <v>0.6694444444444444</v>
      </c>
      <c r="I52" s="29">
        <f>IF(H52&lt;G52,24+H52-G52,H52-G52)</f>
        <v>0.41527777777777775</v>
      </c>
      <c r="J52" s="36">
        <v>0.375</v>
      </c>
      <c r="K52" s="36">
        <f ca="1">IFERROR(SUMIFS(INDIRECT(Hours[[#This Row],[table]]&amp;"[real time]"),INDIRECT(Hours[[#This Row],[table]]&amp;"[employee]"),C52,INDIRECT(Hours[[#This Row],[table]]&amp;"[date]"),F52),"")</f>
        <v>0</v>
      </c>
      <c r="L52" s="36">
        <f ca="1">IFERROR(SUM(SUMIFS(INDIRECT(Hours[[#This Row],[table]]&amp;"[real time]"),INDIRECT(Hours[[#This Row],[table]]&amp;"[employee]"),C52,INDIRECT(Hours[[#This Row],[table]]&amp;"[date]"),F52,INDIRECT(Hours[[#This Row],[table]]&amp;"[code]"),{"a","x",""})),"")</f>
        <v>0</v>
      </c>
      <c r="M52" s="36">
        <f ca="1">IFERROR(SUMIFS(INDIRECT(Hours[[#This Row],[table]]&amp;"[real time]"),INDIRECT(Hours[[#This Row],[table]]&amp;"[employee]"),C52,INDIRECT(Hours[[#This Row],[table]]&amp;"[date]"),F52,INDIRECT(Hours[[#This Row],[table]]&amp;"[code]"),"m"),"")</f>
        <v>0</v>
      </c>
      <c r="N52" s="36">
        <f ca="1">IFERROR(SUMIFS(INDIRECT(Hours[[#This Row],[table]]&amp;"[real time]"),INDIRECT(Hours[[#This Row],[table]]&amp;"[employee]"),C52,INDIRECT(Hours[[#This Row],[table]]&amp;"[date]"),F52,INDIRECT(Hours[[#This Row],[table]]&amp;"[code]"),"e"),"")</f>
        <v>0</v>
      </c>
    </row>
    <row r="53" spans="1:14" x14ac:dyDescent="0.25">
      <c r="A53" s="28" t="s">
        <v>53</v>
      </c>
      <c r="B53" s="28" t="s">
        <v>54</v>
      </c>
      <c r="C53" s="1" t="s">
        <v>55</v>
      </c>
      <c r="D53" s="32" t="str">
        <f>IF(NOT(ISBLANK(Hours[[#This Row],[employee]])),IF(ISNUMBER(Hours[[#This Row],[employee]]),"REG","CON"),"")</f>
        <v>CON</v>
      </c>
      <c r="E53" s="32" t="str">
        <f>IF(Hours[[#This Row],[cat]]="CON","Contractors",IF(Hours[[#This Row],[cat]]="REG","Employees",""))</f>
        <v>Contractors</v>
      </c>
      <c r="F53" s="34">
        <v>44168</v>
      </c>
      <c r="G53" s="35">
        <v>0.2673611111111111</v>
      </c>
      <c r="H53" s="35">
        <v>0.66666666666666663</v>
      </c>
      <c r="I53" s="29">
        <f>IF(H53&lt;G53,24+H53-G53,H53-G53)</f>
        <v>0.39930555555555552</v>
      </c>
      <c r="J53" s="36">
        <v>0.375</v>
      </c>
      <c r="K53" s="36">
        <f ca="1">IFERROR(SUMIFS(INDIRECT(Hours[[#This Row],[table]]&amp;"[real time]"),INDIRECT(Hours[[#This Row],[table]]&amp;"[employee]"),C53,INDIRECT(Hours[[#This Row],[table]]&amp;"[date]"),F53),"")</f>
        <v>0</v>
      </c>
      <c r="L53" s="36">
        <f ca="1">IFERROR(SUM(SUMIFS(INDIRECT(Hours[[#This Row],[table]]&amp;"[real time]"),INDIRECT(Hours[[#This Row],[table]]&amp;"[employee]"),C53,INDIRECT(Hours[[#This Row],[table]]&amp;"[date]"),F53,INDIRECT(Hours[[#This Row],[table]]&amp;"[code]"),{"a","x",""})),"")</f>
        <v>0</v>
      </c>
      <c r="M53" s="36">
        <f ca="1">IFERROR(SUMIFS(INDIRECT(Hours[[#This Row],[table]]&amp;"[real time]"),INDIRECT(Hours[[#This Row],[table]]&amp;"[employee]"),C53,INDIRECT(Hours[[#This Row],[table]]&amp;"[date]"),F53,INDIRECT(Hours[[#This Row],[table]]&amp;"[code]"),"m"),"")</f>
        <v>0</v>
      </c>
      <c r="N53" s="36">
        <f ca="1">IFERROR(SUMIFS(INDIRECT(Hours[[#This Row],[table]]&amp;"[real time]"),INDIRECT(Hours[[#This Row],[table]]&amp;"[employee]"),C53,INDIRECT(Hours[[#This Row],[table]]&amp;"[date]"),F53,INDIRECT(Hours[[#This Row],[table]]&amp;"[code]"),"e"),"")</f>
        <v>0</v>
      </c>
    </row>
    <row r="54" spans="1:14" x14ac:dyDescent="0.25">
      <c r="A54" s="28" t="s">
        <v>53</v>
      </c>
      <c r="B54" s="28" t="s">
        <v>54</v>
      </c>
      <c r="C54" s="1" t="s">
        <v>55</v>
      </c>
      <c r="D54" s="32" t="str">
        <f>IF(NOT(ISBLANK(Hours[[#This Row],[employee]])),IF(ISNUMBER(Hours[[#This Row],[employee]]),"REG","CON"),"")</f>
        <v>CON</v>
      </c>
      <c r="E54" s="32" t="str">
        <f>IF(Hours[[#This Row],[cat]]="CON","Contractors",IF(Hours[[#This Row],[cat]]="REG","Employees",""))</f>
        <v>Contractors</v>
      </c>
      <c r="F54" s="34">
        <v>44169</v>
      </c>
      <c r="G54" s="35">
        <v>0.25625000000000003</v>
      </c>
      <c r="H54" s="35">
        <v>0.66666666666666663</v>
      </c>
      <c r="I54" s="29">
        <f>IF(H54&lt;G54,24+H54-G54,H54-G54)</f>
        <v>0.4104166666666666</v>
      </c>
      <c r="J54" s="36">
        <v>0.375</v>
      </c>
      <c r="K54" s="36">
        <f ca="1">IFERROR(SUMIFS(INDIRECT(Hours[[#This Row],[table]]&amp;"[real time]"),INDIRECT(Hours[[#This Row],[table]]&amp;"[employee]"),C54,INDIRECT(Hours[[#This Row],[table]]&amp;"[date]"),F54),"")</f>
        <v>0</v>
      </c>
      <c r="L54" s="36">
        <f ca="1">IFERROR(SUM(SUMIFS(INDIRECT(Hours[[#This Row],[table]]&amp;"[real time]"),INDIRECT(Hours[[#This Row],[table]]&amp;"[employee]"),C54,INDIRECT(Hours[[#This Row],[table]]&amp;"[date]"),F54,INDIRECT(Hours[[#This Row],[table]]&amp;"[code]"),{"a","x",""})),"")</f>
        <v>0</v>
      </c>
      <c r="M54" s="36">
        <f ca="1">IFERROR(SUMIFS(INDIRECT(Hours[[#This Row],[table]]&amp;"[real time]"),INDIRECT(Hours[[#This Row],[table]]&amp;"[employee]"),C54,INDIRECT(Hours[[#This Row],[table]]&amp;"[date]"),F54,INDIRECT(Hours[[#This Row],[table]]&amp;"[code]"),"m"),"")</f>
        <v>0</v>
      </c>
      <c r="N54" s="36">
        <f ca="1">IFERROR(SUMIFS(INDIRECT(Hours[[#This Row],[table]]&amp;"[real time]"),INDIRECT(Hours[[#This Row],[table]]&amp;"[employee]"),C54,INDIRECT(Hours[[#This Row],[table]]&amp;"[date]"),F54,INDIRECT(Hours[[#This Row],[table]]&amp;"[code]"),"e"),"")</f>
        <v>0</v>
      </c>
    </row>
    <row r="55" spans="1:14" x14ac:dyDescent="0.25">
      <c r="A55" s="28" t="s">
        <v>56</v>
      </c>
      <c r="B55" s="28" t="s">
        <v>57</v>
      </c>
      <c r="C55" s="1" t="s">
        <v>58</v>
      </c>
      <c r="D55" s="32" t="str">
        <f>IF(NOT(ISBLANK(Hours[[#This Row],[employee]])),IF(ISNUMBER(Hours[[#This Row],[employee]]),"REG","CON"),"")</f>
        <v>CON</v>
      </c>
      <c r="E55" s="32" t="str">
        <f>IF(Hours[[#This Row],[cat]]="CON","Contractors",IF(Hours[[#This Row],[cat]]="REG","Employees",""))</f>
        <v>Contractors</v>
      </c>
      <c r="F55" s="34">
        <v>44161</v>
      </c>
      <c r="G55" s="35">
        <v>0.26666666666666666</v>
      </c>
      <c r="H55" s="35">
        <v>0.70833333333333337</v>
      </c>
      <c r="I55" s="29">
        <f>IF(H55&lt;G55,24+H55-G55,H55-G55)</f>
        <v>0.44166666666666671</v>
      </c>
      <c r="J55" s="36">
        <v>0.41666666666666669</v>
      </c>
      <c r="K55" s="36">
        <f ca="1">IFERROR(SUMIFS(INDIRECT(Hours[[#This Row],[table]]&amp;"[real time]"),INDIRECT(Hours[[#This Row],[table]]&amp;"[employee]"),C55,INDIRECT(Hours[[#This Row],[table]]&amp;"[date]"),F55),"")</f>
        <v>0</v>
      </c>
      <c r="L55" s="36">
        <f ca="1">IFERROR(SUM(SUMIFS(INDIRECT(Hours[[#This Row],[table]]&amp;"[real time]"),INDIRECT(Hours[[#This Row],[table]]&amp;"[employee]"),C55,INDIRECT(Hours[[#This Row],[table]]&amp;"[date]"),F55,INDIRECT(Hours[[#This Row],[table]]&amp;"[code]"),{"a","x",""})),"")</f>
        <v>0</v>
      </c>
      <c r="M55" s="36">
        <f ca="1">IFERROR(SUMIFS(INDIRECT(Hours[[#This Row],[table]]&amp;"[real time]"),INDIRECT(Hours[[#This Row],[table]]&amp;"[employee]"),C55,INDIRECT(Hours[[#This Row],[table]]&amp;"[date]"),F55,INDIRECT(Hours[[#This Row],[table]]&amp;"[code]"),"m"),"")</f>
        <v>0</v>
      </c>
      <c r="N55" s="36">
        <f ca="1">IFERROR(SUMIFS(INDIRECT(Hours[[#This Row],[table]]&amp;"[real time]"),INDIRECT(Hours[[#This Row],[table]]&amp;"[employee]"),C55,INDIRECT(Hours[[#This Row],[table]]&amp;"[date]"),F55,INDIRECT(Hours[[#This Row],[table]]&amp;"[code]"),"e"),"")</f>
        <v>0</v>
      </c>
    </row>
    <row r="56" spans="1:14" x14ac:dyDescent="0.25">
      <c r="A56" s="28" t="s">
        <v>56</v>
      </c>
      <c r="B56" s="28" t="s">
        <v>57</v>
      </c>
      <c r="C56" s="1" t="s">
        <v>58</v>
      </c>
      <c r="D56" s="32" t="str">
        <f>IF(NOT(ISBLANK(Hours[[#This Row],[employee]])),IF(ISNUMBER(Hours[[#This Row],[employee]]),"REG","CON"),"")</f>
        <v>CON</v>
      </c>
      <c r="E56" s="32" t="str">
        <f>IF(Hours[[#This Row],[cat]]="CON","Contractors",IF(Hours[[#This Row],[cat]]="REG","Employees",""))</f>
        <v>Contractors</v>
      </c>
      <c r="F56" s="34">
        <v>44162</v>
      </c>
      <c r="G56" s="35">
        <v>0.26597222222222222</v>
      </c>
      <c r="H56" s="35">
        <v>0.66666666666666663</v>
      </c>
      <c r="I56" s="29">
        <f>IF(H56&lt;G56,24+H56-G56,H56-G56)</f>
        <v>0.40069444444444441</v>
      </c>
      <c r="J56" s="36">
        <v>0.375</v>
      </c>
      <c r="K56" s="36">
        <f ca="1">IFERROR(SUMIFS(INDIRECT(Hours[[#This Row],[table]]&amp;"[real time]"),INDIRECT(Hours[[#This Row],[table]]&amp;"[employee]"),C56,INDIRECT(Hours[[#This Row],[table]]&amp;"[date]"),F56),"")</f>
        <v>0</v>
      </c>
      <c r="L56" s="36">
        <f ca="1">IFERROR(SUM(SUMIFS(INDIRECT(Hours[[#This Row],[table]]&amp;"[real time]"),INDIRECT(Hours[[#This Row],[table]]&amp;"[employee]"),C56,INDIRECT(Hours[[#This Row],[table]]&amp;"[date]"),F56,INDIRECT(Hours[[#This Row],[table]]&amp;"[code]"),{"a","x",""})),"")</f>
        <v>0</v>
      </c>
      <c r="M56" s="36">
        <f ca="1">IFERROR(SUMIFS(INDIRECT(Hours[[#This Row],[table]]&amp;"[real time]"),INDIRECT(Hours[[#This Row],[table]]&amp;"[employee]"),C56,INDIRECT(Hours[[#This Row],[table]]&amp;"[date]"),F56,INDIRECT(Hours[[#This Row],[table]]&amp;"[code]"),"m"),"")</f>
        <v>0</v>
      </c>
      <c r="N56" s="36">
        <f ca="1">IFERROR(SUMIFS(INDIRECT(Hours[[#This Row],[table]]&amp;"[real time]"),INDIRECT(Hours[[#This Row],[table]]&amp;"[employee]"),C56,INDIRECT(Hours[[#This Row],[table]]&amp;"[date]"),F56,INDIRECT(Hours[[#This Row],[table]]&amp;"[code]"),"e"),"")</f>
        <v>0</v>
      </c>
    </row>
    <row r="57" spans="1:14" x14ac:dyDescent="0.25">
      <c r="A57" s="28" t="s">
        <v>56</v>
      </c>
      <c r="B57" s="28" t="s">
        <v>57</v>
      </c>
      <c r="C57" s="1" t="s">
        <v>58</v>
      </c>
      <c r="D57" s="32" t="str">
        <f>IF(NOT(ISBLANK(Hours[[#This Row],[employee]])),IF(ISNUMBER(Hours[[#This Row],[employee]]),"REG","CON"),"")</f>
        <v>CON</v>
      </c>
      <c r="E57" s="32" t="str">
        <f>IF(Hours[[#This Row],[cat]]="CON","Contractors",IF(Hours[[#This Row],[cat]]="REG","Employees",""))</f>
        <v>Contractors</v>
      </c>
      <c r="F57" s="34">
        <v>44163</v>
      </c>
      <c r="G57" s="35">
        <v>0.26666666666666666</v>
      </c>
      <c r="H57" s="35">
        <v>0.62638888888888888</v>
      </c>
      <c r="I57" s="29">
        <f>IF(H57&lt;G57,24+H57-G57,H57-G57)</f>
        <v>0.35972222222222222</v>
      </c>
      <c r="J57" s="36">
        <v>0.33333333333333331</v>
      </c>
      <c r="K57" s="36">
        <f ca="1">IFERROR(SUMIFS(INDIRECT(Hours[[#This Row],[table]]&amp;"[real time]"),INDIRECT(Hours[[#This Row],[table]]&amp;"[employee]"),C57,INDIRECT(Hours[[#This Row],[table]]&amp;"[date]"),F57),"")</f>
        <v>0</v>
      </c>
      <c r="L57" s="36">
        <f ca="1">IFERROR(SUM(SUMIFS(INDIRECT(Hours[[#This Row],[table]]&amp;"[real time]"),INDIRECT(Hours[[#This Row],[table]]&amp;"[employee]"),C57,INDIRECT(Hours[[#This Row],[table]]&amp;"[date]"),F57,INDIRECT(Hours[[#This Row],[table]]&amp;"[code]"),{"a","x",""})),"")</f>
        <v>0</v>
      </c>
      <c r="M57" s="36">
        <f ca="1">IFERROR(SUMIFS(INDIRECT(Hours[[#This Row],[table]]&amp;"[real time]"),INDIRECT(Hours[[#This Row],[table]]&amp;"[employee]"),C57,INDIRECT(Hours[[#This Row],[table]]&amp;"[date]"),F57,INDIRECT(Hours[[#This Row],[table]]&amp;"[code]"),"m"),"")</f>
        <v>0</v>
      </c>
      <c r="N57" s="36">
        <f ca="1">IFERROR(SUMIFS(INDIRECT(Hours[[#This Row],[table]]&amp;"[real time]"),INDIRECT(Hours[[#This Row],[table]]&amp;"[employee]"),C57,INDIRECT(Hours[[#This Row],[table]]&amp;"[date]"),F57,INDIRECT(Hours[[#This Row],[table]]&amp;"[code]"),"e"),"")</f>
        <v>0</v>
      </c>
    </row>
    <row r="58" spans="1:14" x14ac:dyDescent="0.25">
      <c r="A58" s="28" t="s">
        <v>56</v>
      </c>
      <c r="B58" s="28" t="s">
        <v>57</v>
      </c>
      <c r="C58" s="1" t="s">
        <v>58</v>
      </c>
      <c r="D58" s="32" t="str">
        <f>IF(NOT(ISBLANK(Hours[[#This Row],[employee]])),IF(ISNUMBER(Hours[[#This Row],[employee]]),"REG","CON"),"")</f>
        <v>CON</v>
      </c>
      <c r="E58" s="32" t="str">
        <f>IF(Hours[[#This Row],[cat]]="CON","Contractors",IF(Hours[[#This Row],[cat]]="REG","Employees",""))</f>
        <v>Contractors</v>
      </c>
      <c r="F58" s="34">
        <v>44165</v>
      </c>
      <c r="G58" s="35">
        <v>0.26597222222222222</v>
      </c>
      <c r="H58" s="35">
        <v>0.66666666666666663</v>
      </c>
      <c r="I58" s="29">
        <f>IF(H58&lt;G58,24+H58-G58,H58-G58)</f>
        <v>0.40069444444444441</v>
      </c>
      <c r="J58" s="36">
        <v>0.375</v>
      </c>
      <c r="K58" s="36">
        <f ca="1">IFERROR(SUMIFS(INDIRECT(Hours[[#This Row],[table]]&amp;"[real time]"),INDIRECT(Hours[[#This Row],[table]]&amp;"[employee]"),C58,INDIRECT(Hours[[#This Row],[table]]&amp;"[date]"),F58),"")</f>
        <v>0</v>
      </c>
      <c r="L58" s="36">
        <f ca="1">IFERROR(SUM(SUMIFS(INDIRECT(Hours[[#This Row],[table]]&amp;"[real time]"),INDIRECT(Hours[[#This Row],[table]]&amp;"[employee]"),C58,INDIRECT(Hours[[#This Row],[table]]&amp;"[date]"),F58,INDIRECT(Hours[[#This Row],[table]]&amp;"[code]"),{"a","x",""})),"")</f>
        <v>0</v>
      </c>
      <c r="M58" s="36">
        <f ca="1">IFERROR(SUMIFS(INDIRECT(Hours[[#This Row],[table]]&amp;"[real time]"),INDIRECT(Hours[[#This Row],[table]]&amp;"[employee]"),C58,INDIRECT(Hours[[#This Row],[table]]&amp;"[date]"),F58,INDIRECT(Hours[[#This Row],[table]]&amp;"[code]"),"m"),"")</f>
        <v>0</v>
      </c>
      <c r="N58" s="36">
        <f ca="1">IFERROR(SUMIFS(INDIRECT(Hours[[#This Row],[table]]&amp;"[real time]"),INDIRECT(Hours[[#This Row],[table]]&amp;"[employee]"),C58,INDIRECT(Hours[[#This Row],[table]]&amp;"[date]"),F58,INDIRECT(Hours[[#This Row],[table]]&amp;"[code]"),"e"),"")</f>
        <v>0</v>
      </c>
    </row>
    <row r="59" spans="1:14" x14ac:dyDescent="0.25">
      <c r="A59" s="28" t="s">
        <v>56</v>
      </c>
      <c r="B59" s="28" t="s">
        <v>57</v>
      </c>
      <c r="C59" s="1" t="s">
        <v>58</v>
      </c>
      <c r="D59" s="32" t="str">
        <f>IF(NOT(ISBLANK(Hours[[#This Row],[employee]])),IF(ISNUMBER(Hours[[#This Row],[employee]]),"REG","CON"),"")</f>
        <v>CON</v>
      </c>
      <c r="E59" s="32" t="str">
        <f>IF(Hours[[#This Row],[cat]]="CON","Contractors",IF(Hours[[#This Row],[cat]]="REG","Employees",""))</f>
        <v>Contractors</v>
      </c>
      <c r="F59" s="34">
        <v>44166</v>
      </c>
      <c r="G59" s="35">
        <v>0.26874999999999999</v>
      </c>
      <c r="H59" s="35">
        <v>0.66805555555555562</v>
      </c>
      <c r="I59" s="29">
        <f>IF(H59&lt;G59,24+H59-G59,H59-G59)</f>
        <v>0.39930555555555564</v>
      </c>
      <c r="J59" s="36">
        <v>0.375</v>
      </c>
      <c r="K59" s="36">
        <f ca="1">IFERROR(SUMIFS(INDIRECT(Hours[[#This Row],[table]]&amp;"[real time]"),INDIRECT(Hours[[#This Row],[table]]&amp;"[employee]"),C59,INDIRECT(Hours[[#This Row],[table]]&amp;"[date]"),F59),"")</f>
        <v>0</v>
      </c>
      <c r="L59" s="36">
        <f ca="1">IFERROR(SUM(SUMIFS(INDIRECT(Hours[[#This Row],[table]]&amp;"[real time]"),INDIRECT(Hours[[#This Row],[table]]&amp;"[employee]"),C59,INDIRECT(Hours[[#This Row],[table]]&amp;"[date]"),F59,INDIRECT(Hours[[#This Row],[table]]&amp;"[code]"),{"a","x",""})),"")</f>
        <v>0</v>
      </c>
      <c r="M59" s="36">
        <f ca="1">IFERROR(SUMIFS(INDIRECT(Hours[[#This Row],[table]]&amp;"[real time]"),INDIRECT(Hours[[#This Row],[table]]&amp;"[employee]"),C59,INDIRECT(Hours[[#This Row],[table]]&amp;"[date]"),F59,INDIRECT(Hours[[#This Row],[table]]&amp;"[code]"),"m"),"")</f>
        <v>0</v>
      </c>
      <c r="N59" s="36">
        <f ca="1">IFERROR(SUMIFS(INDIRECT(Hours[[#This Row],[table]]&amp;"[real time]"),INDIRECT(Hours[[#This Row],[table]]&amp;"[employee]"),C59,INDIRECT(Hours[[#This Row],[table]]&amp;"[date]"),F59,INDIRECT(Hours[[#This Row],[table]]&amp;"[code]"),"e"),"")</f>
        <v>0</v>
      </c>
    </row>
    <row r="60" spans="1:14" x14ac:dyDescent="0.25">
      <c r="A60" s="28" t="s">
        <v>56</v>
      </c>
      <c r="B60" s="28" t="s">
        <v>57</v>
      </c>
      <c r="C60" s="1" t="s">
        <v>58</v>
      </c>
      <c r="D60" s="32" t="str">
        <f>IF(NOT(ISBLANK(Hours[[#This Row],[employee]])),IF(ISNUMBER(Hours[[#This Row],[employee]]),"REG","CON"),"")</f>
        <v>CON</v>
      </c>
      <c r="E60" s="32" t="str">
        <f>IF(Hours[[#This Row],[cat]]="CON","Contractors",IF(Hours[[#This Row],[cat]]="REG","Employees",""))</f>
        <v>Contractors</v>
      </c>
      <c r="F60" s="34">
        <v>44167</v>
      </c>
      <c r="G60" s="35">
        <v>0.2673611111111111</v>
      </c>
      <c r="H60" s="35">
        <v>0.69027777777777777</v>
      </c>
      <c r="I60" s="29">
        <f>IF(H60&lt;G60,24+H60-G60,H60-G60)</f>
        <v>0.42291666666666666</v>
      </c>
      <c r="J60" s="36">
        <v>0.39583333333333331</v>
      </c>
      <c r="K60" s="36">
        <f ca="1">IFERROR(SUMIFS(INDIRECT(Hours[[#This Row],[table]]&amp;"[real time]"),INDIRECT(Hours[[#This Row],[table]]&amp;"[employee]"),C60,INDIRECT(Hours[[#This Row],[table]]&amp;"[date]"),F60),"")</f>
        <v>0</v>
      </c>
      <c r="L60" s="36">
        <f ca="1">IFERROR(SUM(SUMIFS(INDIRECT(Hours[[#This Row],[table]]&amp;"[real time]"),INDIRECT(Hours[[#This Row],[table]]&amp;"[employee]"),C60,INDIRECT(Hours[[#This Row],[table]]&amp;"[date]"),F60,INDIRECT(Hours[[#This Row],[table]]&amp;"[code]"),{"a","x",""})),"")</f>
        <v>0</v>
      </c>
      <c r="M60" s="36">
        <f ca="1">IFERROR(SUMIFS(INDIRECT(Hours[[#This Row],[table]]&amp;"[real time]"),INDIRECT(Hours[[#This Row],[table]]&amp;"[employee]"),C60,INDIRECT(Hours[[#This Row],[table]]&amp;"[date]"),F60,INDIRECT(Hours[[#This Row],[table]]&amp;"[code]"),"m"),"")</f>
        <v>0</v>
      </c>
      <c r="N60" s="36">
        <f ca="1">IFERROR(SUMIFS(INDIRECT(Hours[[#This Row],[table]]&amp;"[real time]"),INDIRECT(Hours[[#This Row],[table]]&amp;"[employee]"),C60,INDIRECT(Hours[[#This Row],[table]]&amp;"[date]"),F60,INDIRECT(Hours[[#This Row],[table]]&amp;"[code]"),"e"),"")</f>
        <v>0</v>
      </c>
    </row>
    <row r="61" spans="1:14" x14ac:dyDescent="0.25">
      <c r="A61" s="28" t="s">
        <v>56</v>
      </c>
      <c r="B61" s="28" t="s">
        <v>57</v>
      </c>
      <c r="C61" s="1" t="s">
        <v>58</v>
      </c>
      <c r="D61" s="32" t="str">
        <f>IF(NOT(ISBLANK(Hours[[#This Row],[employee]])),IF(ISNUMBER(Hours[[#This Row],[employee]]),"REG","CON"),"")</f>
        <v>CON</v>
      </c>
      <c r="E61" s="32" t="str">
        <f>IF(Hours[[#This Row],[cat]]="CON","Contractors",IF(Hours[[#This Row],[cat]]="REG","Employees",""))</f>
        <v>Contractors</v>
      </c>
      <c r="F61" s="34">
        <v>44168</v>
      </c>
      <c r="G61" s="35">
        <v>0.2673611111111111</v>
      </c>
      <c r="H61" s="35">
        <v>0.68819444444444444</v>
      </c>
      <c r="I61" s="29">
        <f>IF(H61&lt;G61,24+H61-G61,H61-G61)</f>
        <v>0.42083333333333334</v>
      </c>
      <c r="J61" s="36">
        <v>0.39583333333333331</v>
      </c>
      <c r="K61" s="36">
        <f ca="1">IFERROR(SUMIFS(INDIRECT(Hours[[#This Row],[table]]&amp;"[real time]"),INDIRECT(Hours[[#This Row],[table]]&amp;"[employee]"),C61,INDIRECT(Hours[[#This Row],[table]]&amp;"[date]"),F61),"")</f>
        <v>0</v>
      </c>
      <c r="L61" s="36">
        <f ca="1">IFERROR(SUM(SUMIFS(INDIRECT(Hours[[#This Row],[table]]&amp;"[real time]"),INDIRECT(Hours[[#This Row],[table]]&amp;"[employee]"),C61,INDIRECT(Hours[[#This Row],[table]]&amp;"[date]"),F61,INDIRECT(Hours[[#This Row],[table]]&amp;"[code]"),{"a","x",""})),"")</f>
        <v>0</v>
      </c>
      <c r="M61" s="36">
        <f ca="1">IFERROR(SUMIFS(INDIRECT(Hours[[#This Row],[table]]&amp;"[real time]"),INDIRECT(Hours[[#This Row],[table]]&amp;"[employee]"),C61,INDIRECT(Hours[[#This Row],[table]]&amp;"[date]"),F61,INDIRECT(Hours[[#This Row],[table]]&amp;"[code]"),"m"),"")</f>
        <v>0</v>
      </c>
      <c r="N61" s="36">
        <f ca="1">IFERROR(SUMIFS(INDIRECT(Hours[[#This Row],[table]]&amp;"[real time]"),INDIRECT(Hours[[#This Row],[table]]&amp;"[employee]"),C61,INDIRECT(Hours[[#This Row],[table]]&amp;"[date]"),F61,INDIRECT(Hours[[#This Row],[table]]&amp;"[code]"),"e"),"")</f>
        <v>0</v>
      </c>
    </row>
    <row r="62" spans="1:14" x14ac:dyDescent="0.25">
      <c r="A62" s="28" t="s">
        <v>56</v>
      </c>
      <c r="B62" s="28" t="s">
        <v>57</v>
      </c>
      <c r="C62" s="1" t="s">
        <v>58</v>
      </c>
      <c r="D62" s="32" t="str">
        <f>IF(NOT(ISBLANK(Hours[[#This Row],[employee]])),IF(ISNUMBER(Hours[[#This Row],[employee]]),"REG","CON"),"")</f>
        <v>CON</v>
      </c>
      <c r="E62" s="32" t="str">
        <f>IF(Hours[[#This Row],[cat]]="CON","Contractors",IF(Hours[[#This Row],[cat]]="REG","Employees",""))</f>
        <v>Contractors</v>
      </c>
      <c r="F62" s="34">
        <v>44169</v>
      </c>
      <c r="G62" s="35">
        <v>0.26805555555555555</v>
      </c>
      <c r="H62" s="35">
        <v>0.8027777777777777</v>
      </c>
      <c r="I62" s="29">
        <f>IF(H62&lt;G62,24+H62-G62,H62-G62)</f>
        <v>0.5347222222222221</v>
      </c>
      <c r="J62" s="36">
        <v>0.5</v>
      </c>
      <c r="K62" s="36">
        <f ca="1">IFERROR(SUMIFS(INDIRECT(Hours[[#This Row],[table]]&amp;"[real time]"),INDIRECT(Hours[[#This Row],[table]]&amp;"[employee]"),C62,INDIRECT(Hours[[#This Row],[table]]&amp;"[date]"),F62),"")</f>
        <v>0</v>
      </c>
      <c r="L62" s="36">
        <f ca="1">IFERROR(SUM(SUMIFS(INDIRECT(Hours[[#This Row],[table]]&amp;"[real time]"),INDIRECT(Hours[[#This Row],[table]]&amp;"[employee]"),C62,INDIRECT(Hours[[#This Row],[table]]&amp;"[date]"),F62,INDIRECT(Hours[[#This Row],[table]]&amp;"[code]"),{"a","x",""})),"")</f>
        <v>0</v>
      </c>
      <c r="M62" s="36">
        <f ca="1">IFERROR(SUMIFS(INDIRECT(Hours[[#This Row],[table]]&amp;"[real time]"),INDIRECT(Hours[[#This Row],[table]]&amp;"[employee]"),C62,INDIRECT(Hours[[#This Row],[table]]&amp;"[date]"),F62,INDIRECT(Hours[[#This Row],[table]]&amp;"[code]"),"m"),"")</f>
        <v>0</v>
      </c>
      <c r="N62" s="36">
        <f ca="1">IFERROR(SUMIFS(INDIRECT(Hours[[#This Row],[table]]&amp;"[real time]"),INDIRECT(Hours[[#This Row],[table]]&amp;"[employee]"),C62,INDIRECT(Hours[[#This Row],[table]]&amp;"[date]"),F62,INDIRECT(Hours[[#This Row],[table]]&amp;"[code]"),"e"),"")</f>
        <v>0</v>
      </c>
    </row>
    <row r="63" spans="1:14" x14ac:dyDescent="0.25">
      <c r="A63" s="28" t="s">
        <v>59</v>
      </c>
      <c r="B63" s="28" t="s">
        <v>60</v>
      </c>
      <c r="C63" s="1" t="s">
        <v>61</v>
      </c>
      <c r="D63" s="32" t="str">
        <f>IF(NOT(ISBLANK(Hours[[#This Row],[employee]])),IF(ISNUMBER(Hours[[#This Row],[employee]]),"REG","CON"),"")</f>
        <v>CON</v>
      </c>
      <c r="E63" s="32" t="str">
        <f>IF(Hours[[#This Row],[cat]]="CON","Contractors",IF(Hours[[#This Row],[cat]]="REG","Employees",""))</f>
        <v>Contractors</v>
      </c>
      <c r="F63" s="34">
        <v>44158</v>
      </c>
      <c r="G63" s="35">
        <v>0.26666666666666666</v>
      </c>
      <c r="H63" s="35">
        <v>0.66666666666666663</v>
      </c>
      <c r="I63" s="29">
        <f>IF(H63&lt;G63,24+H63-G63,H63-G63)</f>
        <v>0.39999999999999997</v>
      </c>
      <c r="J63" s="36">
        <v>0.375</v>
      </c>
      <c r="K63" s="36">
        <f ca="1">IFERROR(SUMIFS(INDIRECT(Hours[[#This Row],[table]]&amp;"[real time]"),INDIRECT(Hours[[#This Row],[table]]&amp;"[employee]"),C63,INDIRECT(Hours[[#This Row],[table]]&amp;"[date]"),F63),"")</f>
        <v>0</v>
      </c>
      <c r="L63" s="36">
        <f ca="1">IFERROR(SUM(SUMIFS(INDIRECT(Hours[[#This Row],[table]]&amp;"[real time]"),INDIRECT(Hours[[#This Row],[table]]&amp;"[employee]"),C63,INDIRECT(Hours[[#This Row],[table]]&amp;"[date]"),F63,INDIRECT(Hours[[#This Row],[table]]&amp;"[code]"),{"a","x",""})),"")</f>
        <v>0</v>
      </c>
      <c r="M63" s="36">
        <f ca="1">IFERROR(SUMIFS(INDIRECT(Hours[[#This Row],[table]]&amp;"[real time]"),INDIRECT(Hours[[#This Row],[table]]&amp;"[employee]"),C63,INDIRECT(Hours[[#This Row],[table]]&amp;"[date]"),F63,INDIRECT(Hours[[#This Row],[table]]&amp;"[code]"),"m"),"")</f>
        <v>0</v>
      </c>
      <c r="N63" s="36">
        <f ca="1">IFERROR(SUMIFS(INDIRECT(Hours[[#This Row],[table]]&amp;"[real time]"),INDIRECT(Hours[[#This Row],[table]]&amp;"[employee]"),C63,INDIRECT(Hours[[#This Row],[table]]&amp;"[date]"),F63,INDIRECT(Hours[[#This Row],[table]]&amp;"[code]"),"e"),"")</f>
        <v>0</v>
      </c>
    </row>
    <row r="64" spans="1:14" x14ac:dyDescent="0.25">
      <c r="A64" s="28" t="s">
        <v>59</v>
      </c>
      <c r="B64" s="28" t="s">
        <v>60</v>
      </c>
      <c r="C64" s="1" t="s">
        <v>61</v>
      </c>
      <c r="D64" s="32" t="str">
        <f>IF(NOT(ISBLANK(Hours[[#This Row],[employee]])),IF(ISNUMBER(Hours[[#This Row],[employee]]),"REG","CON"),"")</f>
        <v>CON</v>
      </c>
      <c r="E64" s="32" t="str">
        <f>IF(Hours[[#This Row],[cat]]="CON","Contractors",IF(Hours[[#This Row],[cat]]="REG","Employees",""))</f>
        <v>Contractors</v>
      </c>
      <c r="F64" s="34">
        <v>44165</v>
      </c>
      <c r="G64" s="35">
        <v>0.26874999999999999</v>
      </c>
      <c r="H64" s="35">
        <v>0.66666666666666663</v>
      </c>
      <c r="I64" s="29">
        <f>IF(H64&lt;G64,24+H64-G64,H64-G64)</f>
        <v>0.39791666666666664</v>
      </c>
      <c r="J64" s="36">
        <v>0.375</v>
      </c>
      <c r="K64" s="36">
        <f ca="1">IFERROR(SUMIFS(INDIRECT(Hours[[#This Row],[table]]&amp;"[real time]"),INDIRECT(Hours[[#This Row],[table]]&amp;"[employee]"),C64,INDIRECT(Hours[[#This Row],[table]]&amp;"[date]"),F64),"")</f>
        <v>0</v>
      </c>
      <c r="L64" s="36">
        <f ca="1">IFERROR(SUM(SUMIFS(INDIRECT(Hours[[#This Row],[table]]&amp;"[real time]"),INDIRECT(Hours[[#This Row],[table]]&amp;"[employee]"),C64,INDIRECT(Hours[[#This Row],[table]]&amp;"[date]"),F64,INDIRECT(Hours[[#This Row],[table]]&amp;"[code]"),{"a","x",""})),"")</f>
        <v>0</v>
      </c>
      <c r="M64" s="36">
        <f ca="1">IFERROR(SUMIFS(INDIRECT(Hours[[#This Row],[table]]&amp;"[real time]"),INDIRECT(Hours[[#This Row],[table]]&amp;"[employee]"),C64,INDIRECT(Hours[[#This Row],[table]]&amp;"[date]"),F64,INDIRECT(Hours[[#This Row],[table]]&amp;"[code]"),"m"),"")</f>
        <v>0</v>
      </c>
      <c r="N64" s="36">
        <f ca="1">IFERROR(SUMIFS(INDIRECT(Hours[[#This Row],[table]]&amp;"[real time]"),INDIRECT(Hours[[#This Row],[table]]&amp;"[employee]"),C64,INDIRECT(Hours[[#This Row],[table]]&amp;"[date]"),F64,INDIRECT(Hours[[#This Row],[table]]&amp;"[code]"),"e"),"")</f>
        <v>0</v>
      </c>
    </row>
    <row r="65" spans="1:14" x14ac:dyDescent="0.25">
      <c r="A65" s="28" t="s">
        <v>59</v>
      </c>
      <c r="B65" s="28" t="s">
        <v>60</v>
      </c>
      <c r="C65" s="1" t="s">
        <v>61</v>
      </c>
      <c r="D65" s="32" t="str">
        <f>IF(NOT(ISBLANK(Hours[[#This Row],[employee]])),IF(ISNUMBER(Hours[[#This Row],[employee]]),"REG","CON"),"")</f>
        <v>CON</v>
      </c>
      <c r="E65" s="32" t="str">
        <f>IF(Hours[[#This Row],[cat]]="CON","Contractors",IF(Hours[[#This Row],[cat]]="REG","Employees",""))</f>
        <v>Contractors</v>
      </c>
      <c r="F65" s="34">
        <v>44166</v>
      </c>
      <c r="G65" s="35">
        <v>0.26597222222222222</v>
      </c>
      <c r="H65" s="35">
        <v>0.66666666666666663</v>
      </c>
      <c r="I65" s="29">
        <f>IF(H65&lt;G65,24+H65-G65,H65-G65)</f>
        <v>0.40069444444444441</v>
      </c>
      <c r="J65" s="36">
        <v>0.375</v>
      </c>
      <c r="K65" s="36">
        <f ca="1">IFERROR(SUMIFS(INDIRECT(Hours[[#This Row],[table]]&amp;"[real time]"),INDIRECT(Hours[[#This Row],[table]]&amp;"[employee]"),C65,INDIRECT(Hours[[#This Row],[table]]&amp;"[date]"),F65),"")</f>
        <v>0</v>
      </c>
      <c r="L65" s="36">
        <f ca="1">IFERROR(SUM(SUMIFS(INDIRECT(Hours[[#This Row],[table]]&amp;"[real time]"),INDIRECT(Hours[[#This Row],[table]]&amp;"[employee]"),C65,INDIRECT(Hours[[#This Row],[table]]&amp;"[date]"),F65,INDIRECT(Hours[[#This Row],[table]]&amp;"[code]"),{"a","x",""})),"")</f>
        <v>0</v>
      </c>
      <c r="M65" s="36">
        <f ca="1">IFERROR(SUMIFS(INDIRECT(Hours[[#This Row],[table]]&amp;"[real time]"),INDIRECT(Hours[[#This Row],[table]]&amp;"[employee]"),C65,INDIRECT(Hours[[#This Row],[table]]&amp;"[date]"),F65,INDIRECT(Hours[[#This Row],[table]]&amp;"[code]"),"m"),"")</f>
        <v>0</v>
      </c>
      <c r="N65" s="36">
        <f ca="1">IFERROR(SUMIFS(INDIRECT(Hours[[#This Row],[table]]&amp;"[real time]"),INDIRECT(Hours[[#This Row],[table]]&amp;"[employee]"),C65,INDIRECT(Hours[[#This Row],[table]]&amp;"[date]"),F65,INDIRECT(Hours[[#This Row],[table]]&amp;"[code]"),"e"),"")</f>
        <v>0</v>
      </c>
    </row>
    <row r="66" spans="1:14" x14ac:dyDescent="0.25">
      <c r="A66" s="28" t="s">
        <v>59</v>
      </c>
      <c r="B66" s="28" t="s">
        <v>60</v>
      </c>
      <c r="C66" s="1" t="s">
        <v>61</v>
      </c>
      <c r="D66" s="32" t="str">
        <f>IF(NOT(ISBLANK(Hours[[#This Row],[employee]])),IF(ISNUMBER(Hours[[#This Row],[employee]]),"REG","CON"),"")</f>
        <v>CON</v>
      </c>
      <c r="E66" s="32" t="str">
        <f>IF(Hours[[#This Row],[cat]]="CON","Contractors",IF(Hours[[#This Row],[cat]]="REG","Employees",""))</f>
        <v>Contractors</v>
      </c>
      <c r="F66" s="34">
        <v>44167</v>
      </c>
      <c r="G66" s="35">
        <v>0.26597222222222222</v>
      </c>
      <c r="H66" s="35">
        <v>0.66736111111111107</v>
      </c>
      <c r="I66" s="29">
        <f>IF(H66&lt;G66,24+H66-G66,H66-G66)</f>
        <v>0.40138888888888885</v>
      </c>
      <c r="J66" s="36">
        <v>0.375</v>
      </c>
      <c r="K66" s="36">
        <f ca="1">IFERROR(SUMIFS(INDIRECT(Hours[[#This Row],[table]]&amp;"[real time]"),INDIRECT(Hours[[#This Row],[table]]&amp;"[employee]"),C66,INDIRECT(Hours[[#This Row],[table]]&amp;"[date]"),F66),"")</f>
        <v>0</v>
      </c>
      <c r="L66" s="36">
        <f ca="1">IFERROR(SUM(SUMIFS(INDIRECT(Hours[[#This Row],[table]]&amp;"[real time]"),INDIRECT(Hours[[#This Row],[table]]&amp;"[employee]"),C66,INDIRECT(Hours[[#This Row],[table]]&amp;"[date]"),F66,INDIRECT(Hours[[#This Row],[table]]&amp;"[code]"),{"a","x",""})),"")</f>
        <v>0</v>
      </c>
      <c r="M66" s="36">
        <f ca="1">IFERROR(SUMIFS(INDIRECT(Hours[[#This Row],[table]]&amp;"[real time]"),INDIRECT(Hours[[#This Row],[table]]&amp;"[employee]"),C66,INDIRECT(Hours[[#This Row],[table]]&amp;"[date]"),F66,INDIRECT(Hours[[#This Row],[table]]&amp;"[code]"),"m"),"")</f>
        <v>0</v>
      </c>
      <c r="N66" s="36">
        <f ca="1">IFERROR(SUMIFS(INDIRECT(Hours[[#This Row],[table]]&amp;"[real time]"),INDIRECT(Hours[[#This Row],[table]]&amp;"[employee]"),C66,INDIRECT(Hours[[#This Row],[table]]&amp;"[date]"),F66,INDIRECT(Hours[[#This Row],[table]]&amp;"[code]"),"e"),"")</f>
        <v>0</v>
      </c>
    </row>
    <row r="67" spans="1:14" x14ac:dyDescent="0.25">
      <c r="A67" s="28" t="s">
        <v>59</v>
      </c>
      <c r="B67" s="28" t="s">
        <v>60</v>
      </c>
      <c r="C67" s="1" t="s">
        <v>61</v>
      </c>
      <c r="D67" s="32" t="str">
        <f>IF(NOT(ISBLANK(Hours[[#This Row],[employee]])),IF(ISNUMBER(Hours[[#This Row],[employee]]),"REG","CON"),"")</f>
        <v>CON</v>
      </c>
      <c r="E67" s="32" t="str">
        <f>IF(Hours[[#This Row],[cat]]="CON","Contractors",IF(Hours[[#This Row],[cat]]="REG","Employees",""))</f>
        <v>Contractors</v>
      </c>
      <c r="F67" s="34">
        <v>44168</v>
      </c>
      <c r="G67" s="35">
        <v>0.27083333333333331</v>
      </c>
      <c r="H67" s="35">
        <v>0.66666666666666663</v>
      </c>
      <c r="I67" s="29">
        <f>IF(H67&lt;G67,24+H67-G67,H67-G67)</f>
        <v>0.39583333333333331</v>
      </c>
      <c r="J67" s="36">
        <v>0.375</v>
      </c>
      <c r="K67" s="36">
        <f ca="1">IFERROR(SUMIFS(INDIRECT(Hours[[#This Row],[table]]&amp;"[real time]"),INDIRECT(Hours[[#This Row],[table]]&amp;"[employee]"),C67,INDIRECT(Hours[[#This Row],[table]]&amp;"[date]"),F67),"")</f>
        <v>0</v>
      </c>
      <c r="L67" s="36">
        <f ca="1">IFERROR(SUM(SUMIFS(INDIRECT(Hours[[#This Row],[table]]&amp;"[real time]"),INDIRECT(Hours[[#This Row],[table]]&amp;"[employee]"),C67,INDIRECT(Hours[[#This Row],[table]]&amp;"[date]"),F67,INDIRECT(Hours[[#This Row],[table]]&amp;"[code]"),{"a","x",""})),"")</f>
        <v>0</v>
      </c>
      <c r="M67" s="36">
        <f ca="1">IFERROR(SUMIFS(INDIRECT(Hours[[#This Row],[table]]&amp;"[real time]"),INDIRECT(Hours[[#This Row],[table]]&amp;"[employee]"),C67,INDIRECT(Hours[[#This Row],[table]]&amp;"[date]"),F67,INDIRECT(Hours[[#This Row],[table]]&amp;"[code]"),"m"),"")</f>
        <v>0</v>
      </c>
      <c r="N67" s="36">
        <f ca="1">IFERROR(SUMIFS(INDIRECT(Hours[[#This Row],[table]]&amp;"[real time]"),INDIRECT(Hours[[#This Row],[table]]&amp;"[employee]"),C67,INDIRECT(Hours[[#This Row],[table]]&amp;"[date]"),F67,INDIRECT(Hours[[#This Row],[table]]&amp;"[code]"),"e"),"")</f>
        <v>0</v>
      </c>
    </row>
    <row r="68" spans="1:14" x14ac:dyDescent="0.25">
      <c r="A68" s="28" t="s">
        <v>59</v>
      </c>
      <c r="B68" s="28" t="s">
        <v>60</v>
      </c>
      <c r="C68" s="1" t="s">
        <v>61</v>
      </c>
      <c r="D68" s="32" t="str">
        <f>IF(NOT(ISBLANK(Hours[[#This Row],[employee]])),IF(ISNUMBER(Hours[[#This Row],[employee]]),"REG","CON"),"")</f>
        <v>CON</v>
      </c>
      <c r="E68" s="32" t="str">
        <f>IF(Hours[[#This Row],[cat]]="CON","Contractors",IF(Hours[[#This Row],[cat]]="REG","Employees",""))</f>
        <v>Contractors</v>
      </c>
      <c r="F68" s="34">
        <v>44169</v>
      </c>
      <c r="G68" s="35">
        <v>0.2638888888888889</v>
      </c>
      <c r="H68" s="35">
        <v>0.66597222222222219</v>
      </c>
      <c r="I68" s="29">
        <f>IF(H68&lt;G68,24+H68-G68,H68-G68)</f>
        <v>0.40208333333333329</v>
      </c>
      <c r="J68" s="36">
        <v>0.375</v>
      </c>
      <c r="K68" s="36">
        <f ca="1">IFERROR(SUMIFS(INDIRECT(Hours[[#This Row],[table]]&amp;"[real time]"),INDIRECT(Hours[[#This Row],[table]]&amp;"[employee]"),C68,INDIRECT(Hours[[#This Row],[table]]&amp;"[date]"),F68),"")</f>
        <v>0</v>
      </c>
      <c r="L68" s="36">
        <f ca="1">IFERROR(SUM(SUMIFS(INDIRECT(Hours[[#This Row],[table]]&amp;"[real time]"),INDIRECT(Hours[[#This Row],[table]]&amp;"[employee]"),C68,INDIRECT(Hours[[#This Row],[table]]&amp;"[date]"),F68,INDIRECT(Hours[[#This Row],[table]]&amp;"[code]"),{"a","x",""})),"")</f>
        <v>0</v>
      </c>
      <c r="M68" s="36">
        <f ca="1">IFERROR(SUMIFS(INDIRECT(Hours[[#This Row],[table]]&amp;"[real time]"),INDIRECT(Hours[[#This Row],[table]]&amp;"[employee]"),C68,INDIRECT(Hours[[#This Row],[table]]&amp;"[date]"),F68,INDIRECT(Hours[[#This Row],[table]]&amp;"[code]"),"m"),"")</f>
        <v>0</v>
      </c>
      <c r="N68" s="36">
        <f ca="1">IFERROR(SUMIFS(INDIRECT(Hours[[#This Row],[table]]&amp;"[real time]"),INDIRECT(Hours[[#This Row],[table]]&amp;"[employee]"),C68,INDIRECT(Hours[[#This Row],[table]]&amp;"[date]"),F68,INDIRECT(Hours[[#This Row],[table]]&amp;"[code]"),"e"),"")</f>
        <v>0</v>
      </c>
    </row>
    <row r="69" spans="1:14" x14ac:dyDescent="0.25">
      <c r="A69" s="28" t="s">
        <v>110</v>
      </c>
      <c r="B69" s="28" t="s">
        <v>111</v>
      </c>
      <c r="C69" s="28" t="s">
        <v>112</v>
      </c>
      <c r="D69" s="32" t="str">
        <f>IF(NOT(ISBLANK(Hours[[#This Row],[employee]])),IF(ISNUMBER(Hours[[#This Row],[employee]]),"REG","CON"),"")</f>
        <v>CON</v>
      </c>
      <c r="E69" s="32" t="str">
        <f>IF(Hours[[#This Row],[cat]]="CON","Contractors",IF(Hours[[#This Row],[cat]]="REG","Employees",""))</f>
        <v>Contractors</v>
      </c>
      <c r="F69" s="34">
        <v>44158</v>
      </c>
      <c r="G69" s="35">
        <v>0.26944444444444443</v>
      </c>
      <c r="H69" s="35">
        <v>0.66736111111111107</v>
      </c>
      <c r="I69" s="29">
        <f t="shared" ref="I69:I71" si="2">IF(H69&lt;G69,24+H69-G69,H69-G69)</f>
        <v>0.39791666666666664</v>
      </c>
      <c r="J69" s="36">
        <v>0.375</v>
      </c>
      <c r="K69" s="36">
        <f ca="1">IFERROR(SUMIFS(INDIRECT(Hours[[#This Row],[table]]&amp;"[real time]"),INDIRECT(Hours[[#This Row],[table]]&amp;"[employee]"),C69,INDIRECT(Hours[[#This Row],[table]]&amp;"[date]"),F69),"")</f>
        <v>0</v>
      </c>
      <c r="L69" s="36">
        <f ca="1">IFERROR(SUM(SUMIFS(INDIRECT(Hours[[#This Row],[table]]&amp;"[real time]"),INDIRECT(Hours[[#This Row],[table]]&amp;"[employee]"),C69,INDIRECT(Hours[[#This Row],[table]]&amp;"[date]"),F69,INDIRECT(Hours[[#This Row],[table]]&amp;"[code]"),{"a","x",""})),"")</f>
        <v>0</v>
      </c>
      <c r="M69" s="36">
        <f ca="1">IFERROR(SUMIFS(INDIRECT(Hours[[#This Row],[table]]&amp;"[real time]"),INDIRECT(Hours[[#This Row],[table]]&amp;"[employee]"),C69,INDIRECT(Hours[[#This Row],[table]]&amp;"[date]"),F69,INDIRECT(Hours[[#This Row],[table]]&amp;"[code]"),"m"),"")</f>
        <v>0</v>
      </c>
      <c r="N69" s="36">
        <f ca="1">IFERROR(SUMIFS(INDIRECT(Hours[[#This Row],[table]]&amp;"[real time]"),INDIRECT(Hours[[#This Row],[table]]&amp;"[employee]"),C69,INDIRECT(Hours[[#This Row],[table]]&amp;"[date]"),F69,INDIRECT(Hours[[#This Row],[table]]&amp;"[code]"),"e"),"")</f>
        <v>0</v>
      </c>
    </row>
    <row r="70" spans="1:14" x14ac:dyDescent="0.25">
      <c r="A70" s="28" t="s">
        <v>110</v>
      </c>
      <c r="B70" s="28" t="s">
        <v>111</v>
      </c>
      <c r="C70" s="28" t="s">
        <v>112</v>
      </c>
      <c r="D70" s="32" t="str">
        <f>IF(NOT(ISBLANK(Hours[[#This Row],[employee]])),IF(ISNUMBER(Hours[[#This Row],[employee]]),"REG","CON"),"")</f>
        <v>CON</v>
      </c>
      <c r="E70" s="32" t="str">
        <f>IF(Hours[[#This Row],[cat]]="CON","Contractors",IF(Hours[[#This Row],[cat]]="REG","Employees",""))</f>
        <v>Contractors</v>
      </c>
      <c r="F70" s="34">
        <v>44160</v>
      </c>
      <c r="G70" s="35">
        <v>0.68055555555555547</v>
      </c>
      <c r="H70" s="35">
        <v>8.3333333333333329E-2</v>
      </c>
      <c r="I70" s="29">
        <f t="shared" si="2"/>
        <v>23.402777777777775</v>
      </c>
      <c r="J70" s="36">
        <v>0.375</v>
      </c>
      <c r="K70" s="36">
        <f ca="1">IFERROR(SUMIFS(INDIRECT(Hours[[#This Row],[table]]&amp;"[real time]"),INDIRECT(Hours[[#This Row],[table]]&amp;"[employee]"),C70,INDIRECT(Hours[[#This Row],[table]]&amp;"[date]"),F70),"")</f>
        <v>0</v>
      </c>
      <c r="L70" s="36">
        <f ca="1">IFERROR(SUM(SUMIFS(INDIRECT(Hours[[#This Row],[table]]&amp;"[real time]"),INDIRECT(Hours[[#This Row],[table]]&amp;"[employee]"),C70,INDIRECT(Hours[[#This Row],[table]]&amp;"[date]"),F70,INDIRECT(Hours[[#This Row],[table]]&amp;"[code]"),{"a","x",""})),"")</f>
        <v>0</v>
      </c>
      <c r="M70" s="36">
        <f ca="1">IFERROR(SUMIFS(INDIRECT(Hours[[#This Row],[table]]&amp;"[real time]"),INDIRECT(Hours[[#This Row],[table]]&amp;"[employee]"),C70,INDIRECT(Hours[[#This Row],[table]]&amp;"[date]"),F70,INDIRECT(Hours[[#This Row],[table]]&amp;"[code]"),"m"),"")</f>
        <v>0</v>
      </c>
      <c r="N70" s="36">
        <f ca="1">IFERROR(SUMIFS(INDIRECT(Hours[[#This Row],[table]]&amp;"[real time]"),INDIRECT(Hours[[#This Row],[table]]&amp;"[employee]"),C70,INDIRECT(Hours[[#This Row],[table]]&amp;"[date]"),F70,INDIRECT(Hours[[#This Row],[table]]&amp;"[code]"),"e"),"")</f>
        <v>0</v>
      </c>
    </row>
    <row r="71" spans="1:14" x14ac:dyDescent="0.25">
      <c r="A71" s="28" t="s">
        <v>110</v>
      </c>
      <c r="B71" s="28" t="s">
        <v>111</v>
      </c>
      <c r="C71" s="28" t="s">
        <v>112</v>
      </c>
      <c r="D71" s="32" t="str">
        <f>IF(NOT(ISBLANK(Hours[[#This Row],[employee]])),IF(ISNUMBER(Hours[[#This Row],[employee]]),"REG","CON"),"")</f>
        <v>CON</v>
      </c>
      <c r="E71" s="32" t="str">
        <f>IF(Hours[[#This Row],[cat]]="CON","Contractors",IF(Hours[[#This Row],[cat]]="REG","Employees",""))</f>
        <v>Contractors</v>
      </c>
      <c r="F71" s="34">
        <v>44161</v>
      </c>
      <c r="G71" s="35">
        <v>0.68263888888888891</v>
      </c>
      <c r="H71" s="35">
        <v>8.2638888888888887E-2</v>
      </c>
      <c r="I71" s="29">
        <f t="shared" si="2"/>
        <v>23.4</v>
      </c>
      <c r="J71" s="36">
        <v>0.375</v>
      </c>
      <c r="K71" s="36">
        <f ca="1">IFERROR(SUMIFS(INDIRECT(Hours[[#This Row],[table]]&amp;"[real time]"),INDIRECT(Hours[[#This Row],[table]]&amp;"[employee]"),C71,INDIRECT(Hours[[#This Row],[table]]&amp;"[date]"),F71),"")</f>
        <v>0</v>
      </c>
      <c r="L71" s="36">
        <f ca="1">IFERROR(SUM(SUMIFS(INDIRECT(Hours[[#This Row],[table]]&amp;"[real time]"),INDIRECT(Hours[[#This Row],[table]]&amp;"[employee]"),C71,INDIRECT(Hours[[#This Row],[table]]&amp;"[date]"),F71,INDIRECT(Hours[[#This Row],[table]]&amp;"[code]"),{"a","x",""})),"")</f>
        <v>0</v>
      </c>
      <c r="M71" s="36">
        <f ca="1">IFERROR(SUMIFS(INDIRECT(Hours[[#This Row],[table]]&amp;"[real time]"),INDIRECT(Hours[[#This Row],[table]]&amp;"[employee]"),C71,INDIRECT(Hours[[#This Row],[table]]&amp;"[date]"),F71,INDIRECT(Hours[[#This Row],[table]]&amp;"[code]"),"m"),"")</f>
        <v>0</v>
      </c>
      <c r="N71" s="36">
        <f ca="1">IFERROR(SUMIFS(INDIRECT(Hours[[#This Row],[table]]&amp;"[real time]"),INDIRECT(Hours[[#This Row],[table]]&amp;"[employee]"),C71,INDIRECT(Hours[[#This Row],[table]]&amp;"[date]"),F71,INDIRECT(Hours[[#This Row],[table]]&amp;"[code]"),"e"),"")</f>
        <v>0</v>
      </c>
    </row>
    <row r="72" spans="1:14" x14ac:dyDescent="0.25">
      <c r="A72" s="28" t="s">
        <v>110</v>
      </c>
      <c r="B72" s="28" t="s">
        <v>111</v>
      </c>
      <c r="C72" s="28" t="s">
        <v>112</v>
      </c>
      <c r="D72" s="32" t="str">
        <f>IF(NOT(ISBLANK(Hours[[#This Row],[employee]])),IF(ISNUMBER(Hours[[#This Row],[employee]]),"REG","CON"),"")</f>
        <v>CON</v>
      </c>
      <c r="E72" s="32" t="str">
        <f>IF(Hours[[#This Row],[cat]]="CON","Contractors",IF(Hours[[#This Row],[cat]]="REG","Employees",""))</f>
        <v>Contractors</v>
      </c>
      <c r="F72" s="34">
        <v>44162</v>
      </c>
      <c r="G72" s="35">
        <v>0.67986111111111114</v>
      </c>
      <c r="H72" s="35">
        <v>8.4027777777777771E-2</v>
      </c>
      <c r="I72" s="29">
        <f>IF(H72&lt;G72,24+H72-G72,H72-G72)</f>
        <v>23.404166666666665</v>
      </c>
      <c r="J72" s="36">
        <v>0.375</v>
      </c>
      <c r="K72" s="36">
        <f ca="1">IFERROR(SUMIFS(INDIRECT(Hours[[#This Row],[table]]&amp;"[real time]"),INDIRECT(Hours[[#This Row],[table]]&amp;"[employee]"),C72,INDIRECT(Hours[[#This Row],[table]]&amp;"[date]"),F72),"")</f>
        <v>0</v>
      </c>
      <c r="L72" s="36">
        <f ca="1">IFERROR(SUM(SUMIFS(INDIRECT(Hours[[#This Row],[table]]&amp;"[real time]"),INDIRECT(Hours[[#This Row],[table]]&amp;"[employee]"),C72,INDIRECT(Hours[[#This Row],[table]]&amp;"[date]"),F72,INDIRECT(Hours[[#This Row],[table]]&amp;"[code]"),{"a","x",""})),"")</f>
        <v>0</v>
      </c>
      <c r="M72" s="36">
        <f ca="1">IFERROR(SUMIFS(INDIRECT(Hours[[#This Row],[table]]&amp;"[real time]"),INDIRECT(Hours[[#This Row],[table]]&amp;"[employee]"),C72,INDIRECT(Hours[[#This Row],[table]]&amp;"[date]"),F72,INDIRECT(Hours[[#This Row],[table]]&amp;"[code]"),"m"),"")</f>
        <v>0</v>
      </c>
      <c r="N72" s="36">
        <f ca="1">IFERROR(SUMIFS(INDIRECT(Hours[[#This Row],[table]]&amp;"[real time]"),INDIRECT(Hours[[#This Row],[table]]&amp;"[employee]"),C72,INDIRECT(Hours[[#This Row],[table]]&amp;"[date]"),F72,INDIRECT(Hours[[#This Row],[table]]&amp;"[code]"),"e"),"")</f>
        <v>0</v>
      </c>
    </row>
    <row r="73" spans="1:14" x14ac:dyDescent="0.25">
      <c r="A73" s="28" t="s">
        <v>62</v>
      </c>
      <c r="B73" s="28" t="s">
        <v>49</v>
      </c>
      <c r="C73" s="1" t="s">
        <v>63</v>
      </c>
      <c r="D73" s="32" t="str">
        <f>IF(NOT(ISBLANK(Hours[[#This Row],[employee]])),IF(ISNUMBER(Hours[[#This Row],[employee]]),"REG","CON"),"")</f>
        <v>CON</v>
      </c>
      <c r="E73" s="32" t="str">
        <f>IF(Hours[[#This Row],[cat]]="CON","Contractors",IF(Hours[[#This Row],[cat]]="REG","Employees",""))</f>
        <v>Contractors</v>
      </c>
      <c r="F73" s="34">
        <v>44160</v>
      </c>
      <c r="G73" s="35">
        <v>0.67638888888888893</v>
      </c>
      <c r="H73" s="35">
        <v>8.3333333333333329E-2</v>
      </c>
      <c r="I73" s="29">
        <f>IF(H73&lt;G73,24+H73-G73,H73-G73)</f>
        <v>23.406944444444441</v>
      </c>
      <c r="J73" s="36">
        <v>0.375</v>
      </c>
      <c r="K73" s="36">
        <f ca="1">IFERROR(SUMIFS(INDIRECT(Hours[[#This Row],[table]]&amp;"[real time]"),INDIRECT(Hours[[#This Row],[table]]&amp;"[employee]"),C73,INDIRECT(Hours[[#This Row],[table]]&amp;"[date]"),F73),"")</f>
        <v>0</v>
      </c>
      <c r="L73" s="36">
        <f ca="1">IFERROR(SUM(SUMIFS(INDIRECT(Hours[[#This Row],[table]]&amp;"[real time]"),INDIRECT(Hours[[#This Row],[table]]&amp;"[employee]"),C73,INDIRECT(Hours[[#This Row],[table]]&amp;"[date]"),F73,INDIRECT(Hours[[#This Row],[table]]&amp;"[code]"),{"a","x",""})),"")</f>
        <v>0</v>
      </c>
      <c r="M73" s="36">
        <f ca="1">IFERROR(SUMIFS(INDIRECT(Hours[[#This Row],[table]]&amp;"[real time]"),INDIRECT(Hours[[#This Row],[table]]&amp;"[employee]"),C73,INDIRECT(Hours[[#This Row],[table]]&amp;"[date]"),F73,INDIRECT(Hours[[#This Row],[table]]&amp;"[code]"),"m"),"")</f>
        <v>0</v>
      </c>
      <c r="N73" s="36">
        <f ca="1">IFERROR(SUMIFS(INDIRECT(Hours[[#This Row],[table]]&amp;"[real time]"),INDIRECT(Hours[[#This Row],[table]]&amp;"[employee]"),C73,INDIRECT(Hours[[#This Row],[table]]&amp;"[date]"),F73,INDIRECT(Hours[[#This Row],[table]]&amp;"[code]"),"e"),"")</f>
        <v>0</v>
      </c>
    </row>
    <row r="74" spans="1:14" x14ac:dyDescent="0.25">
      <c r="A74" s="28" t="s">
        <v>62</v>
      </c>
      <c r="B74" s="28" t="s">
        <v>49</v>
      </c>
      <c r="C74" s="1" t="s">
        <v>63</v>
      </c>
      <c r="D74" s="32" t="str">
        <f>IF(NOT(ISBLANK(Hours[[#This Row],[employee]])),IF(ISNUMBER(Hours[[#This Row],[employee]]),"REG","CON"),"")</f>
        <v>CON</v>
      </c>
      <c r="E74" s="32" t="str">
        <f>IF(Hours[[#This Row],[cat]]="CON","Contractors",IF(Hours[[#This Row],[cat]]="REG","Employees",""))</f>
        <v>Contractors</v>
      </c>
      <c r="F74" s="34">
        <v>44161</v>
      </c>
      <c r="G74" s="35">
        <v>0.67986111111111114</v>
      </c>
      <c r="H74" s="35">
        <v>8.3333333333333329E-2</v>
      </c>
      <c r="I74" s="29">
        <f>IF(H74&lt;G74,24+H74-G74,H74-G74)</f>
        <v>23.40347222222222</v>
      </c>
      <c r="J74" s="36">
        <v>0.375</v>
      </c>
      <c r="K74" s="36">
        <f ca="1">IFERROR(SUMIFS(INDIRECT(Hours[[#This Row],[table]]&amp;"[real time]"),INDIRECT(Hours[[#This Row],[table]]&amp;"[employee]"),C74,INDIRECT(Hours[[#This Row],[table]]&amp;"[date]"),F74),"")</f>
        <v>0</v>
      </c>
      <c r="L74" s="36">
        <f ca="1">IFERROR(SUM(SUMIFS(INDIRECT(Hours[[#This Row],[table]]&amp;"[real time]"),INDIRECT(Hours[[#This Row],[table]]&amp;"[employee]"),C74,INDIRECT(Hours[[#This Row],[table]]&amp;"[date]"),F74,INDIRECT(Hours[[#This Row],[table]]&amp;"[code]"),{"a","x",""})),"")</f>
        <v>0</v>
      </c>
      <c r="M74" s="36">
        <f ca="1">IFERROR(SUMIFS(INDIRECT(Hours[[#This Row],[table]]&amp;"[real time]"),INDIRECT(Hours[[#This Row],[table]]&amp;"[employee]"),C74,INDIRECT(Hours[[#This Row],[table]]&amp;"[date]"),F74,INDIRECT(Hours[[#This Row],[table]]&amp;"[code]"),"m"),"")</f>
        <v>0</v>
      </c>
      <c r="N74" s="36">
        <f ca="1">IFERROR(SUMIFS(INDIRECT(Hours[[#This Row],[table]]&amp;"[real time]"),INDIRECT(Hours[[#This Row],[table]]&amp;"[employee]"),C74,INDIRECT(Hours[[#This Row],[table]]&amp;"[date]"),F74,INDIRECT(Hours[[#This Row],[table]]&amp;"[code]"),"e"),"")</f>
        <v>0</v>
      </c>
    </row>
    <row r="75" spans="1:14" x14ac:dyDescent="0.25">
      <c r="A75" s="28" t="s">
        <v>62</v>
      </c>
      <c r="B75" s="28" t="s">
        <v>49</v>
      </c>
      <c r="C75" s="1" t="s">
        <v>63</v>
      </c>
      <c r="D75" s="32" t="str">
        <f>IF(NOT(ISBLANK(Hours[[#This Row],[employee]])),IF(ISNUMBER(Hours[[#This Row],[employee]]),"REG","CON"),"")</f>
        <v>CON</v>
      </c>
      <c r="E75" s="32" t="str">
        <f>IF(Hours[[#This Row],[cat]]="CON","Contractors",IF(Hours[[#This Row],[cat]]="REG","Employees",""))</f>
        <v>Contractors</v>
      </c>
      <c r="F75" s="34">
        <v>44162</v>
      </c>
      <c r="G75" s="35">
        <v>0.67291666666666661</v>
      </c>
      <c r="H75" s="35">
        <v>4.1666666666666664E-2</v>
      </c>
      <c r="I75" s="29">
        <f>IF(H75&lt;G75,24+H75-G75,H75-G75)</f>
        <v>23.368750000000002</v>
      </c>
      <c r="J75" s="36">
        <v>0.33333333333333331</v>
      </c>
      <c r="K75" s="36">
        <f ca="1">IFERROR(SUMIFS(INDIRECT(Hours[[#This Row],[table]]&amp;"[real time]"),INDIRECT(Hours[[#This Row],[table]]&amp;"[employee]"),C75,INDIRECT(Hours[[#This Row],[table]]&amp;"[date]"),F75),"")</f>
        <v>0</v>
      </c>
      <c r="L75" s="36">
        <f ca="1">IFERROR(SUM(SUMIFS(INDIRECT(Hours[[#This Row],[table]]&amp;"[real time]"),INDIRECT(Hours[[#This Row],[table]]&amp;"[employee]"),C75,INDIRECT(Hours[[#This Row],[table]]&amp;"[date]"),F75,INDIRECT(Hours[[#This Row],[table]]&amp;"[code]"),{"a","x",""})),"")</f>
        <v>0</v>
      </c>
      <c r="M75" s="36">
        <f ca="1">IFERROR(SUMIFS(INDIRECT(Hours[[#This Row],[table]]&amp;"[real time]"),INDIRECT(Hours[[#This Row],[table]]&amp;"[employee]"),C75,INDIRECT(Hours[[#This Row],[table]]&amp;"[date]"),F75,INDIRECT(Hours[[#This Row],[table]]&amp;"[code]"),"m"),"")</f>
        <v>0</v>
      </c>
      <c r="N75" s="36">
        <f ca="1">IFERROR(SUMIFS(INDIRECT(Hours[[#This Row],[table]]&amp;"[real time]"),INDIRECT(Hours[[#This Row],[table]]&amp;"[employee]"),C75,INDIRECT(Hours[[#This Row],[table]]&amp;"[date]"),F75,INDIRECT(Hours[[#This Row],[table]]&amp;"[code]"),"e"),"")</f>
        <v>0</v>
      </c>
    </row>
    <row r="76" spans="1:14" x14ac:dyDescent="0.25">
      <c r="A76" s="28" t="s">
        <v>62</v>
      </c>
      <c r="B76" s="28" t="s">
        <v>49</v>
      </c>
      <c r="C76" s="1" t="s">
        <v>63</v>
      </c>
      <c r="D76" s="32" t="str">
        <f>IF(NOT(ISBLANK(Hours[[#This Row],[employee]])),IF(ISNUMBER(Hours[[#This Row],[employee]]),"REG","CON"),"")</f>
        <v>CON</v>
      </c>
      <c r="E76" s="32" t="str">
        <f>IF(Hours[[#This Row],[cat]]="CON","Contractors",IF(Hours[[#This Row],[cat]]="REG","Employees",""))</f>
        <v>Contractors</v>
      </c>
      <c r="F76" s="34">
        <v>44164</v>
      </c>
      <c r="G76" s="35">
        <v>0.25486111111111109</v>
      </c>
      <c r="H76" s="35">
        <v>0.47916666666666669</v>
      </c>
      <c r="I76" s="29">
        <f>IF(H76&lt;G76,24+H76-G76,H76-G76)</f>
        <v>0.22430555555555559</v>
      </c>
      <c r="J76" s="36">
        <v>0.20833333333333334</v>
      </c>
      <c r="K76" s="36">
        <f ca="1">IFERROR(SUMIFS(INDIRECT(Hours[[#This Row],[table]]&amp;"[real time]"),INDIRECT(Hours[[#This Row],[table]]&amp;"[employee]"),C76,INDIRECT(Hours[[#This Row],[table]]&amp;"[date]"),F76),"")</f>
        <v>0</v>
      </c>
      <c r="L76" s="36">
        <f ca="1">IFERROR(SUM(SUMIFS(INDIRECT(Hours[[#This Row],[table]]&amp;"[real time]"),INDIRECT(Hours[[#This Row],[table]]&amp;"[employee]"),C76,INDIRECT(Hours[[#This Row],[table]]&amp;"[date]"),F76,INDIRECT(Hours[[#This Row],[table]]&amp;"[code]"),{"a","x",""})),"")</f>
        <v>0</v>
      </c>
      <c r="M76" s="36">
        <f ca="1">IFERROR(SUMIFS(INDIRECT(Hours[[#This Row],[table]]&amp;"[real time]"),INDIRECT(Hours[[#This Row],[table]]&amp;"[employee]"),C76,INDIRECT(Hours[[#This Row],[table]]&amp;"[date]"),F76,INDIRECT(Hours[[#This Row],[table]]&amp;"[code]"),"m"),"")</f>
        <v>0</v>
      </c>
      <c r="N76" s="36">
        <f ca="1">IFERROR(SUMIFS(INDIRECT(Hours[[#This Row],[table]]&amp;"[real time]"),INDIRECT(Hours[[#This Row],[table]]&amp;"[employee]"),C76,INDIRECT(Hours[[#This Row],[table]]&amp;"[date]"),F76,INDIRECT(Hours[[#This Row],[table]]&amp;"[code]"),"e"),"")</f>
        <v>0</v>
      </c>
    </row>
    <row r="77" spans="1:14" x14ac:dyDescent="0.25">
      <c r="A77" s="28" t="s">
        <v>62</v>
      </c>
      <c r="B77" s="28" t="s">
        <v>49</v>
      </c>
      <c r="C77" s="1" t="s">
        <v>63</v>
      </c>
      <c r="D77" s="32" t="str">
        <f>IF(NOT(ISBLANK(Hours[[#This Row],[employee]])),IF(ISNUMBER(Hours[[#This Row],[employee]]),"REG","CON"),"")</f>
        <v>CON</v>
      </c>
      <c r="E77" s="32" t="str">
        <f>IF(Hours[[#This Row],[cat]]="CON","Contractors",IF(Hours[[#This Row],[cat]]="REG","Employees",""))</f>
        <v>Contractors</v>
      </c>
      <c r="F77" s="34">
        <v>44165</v>
      </c>
      <c r="G77" s="35">
        <v>0.68125000000000002</v>
      </c>
      <c r="H77" s="35">
        <v>8.3333333333333329E-2</v>
      </c>
      <c r="I77" s="29">
        <f>IF(H77&lt;G77,24+H77-G77,H77-G77)</f>
        <v>23.402083333333334</v>
      </c>
      <c r="J77" s="36">
        <v>0.375</v>
      </c>
      <c r="K77" s="36">
        <f ca="1">IFERROR(SUMIFS(INDIRECT(Hours[[#This Row],[table]]&amp;"[real time]"),INDIRECT(Hours[[#This Row],[table]]&amp;"[employee]"),C77,INDIRECT(Hours[[#This Row],[table]]&amp;"[date]"),F77),"")</f>
        <v>0</v>
      </c>
      <c r="L77" s="36">
        <f ca="1">IFERROR(SUM(SUMIFS(INDIRECT(Hours[[#This Row],[table]]&amp;"[real time]"),INDIRECT(Hours[[#This Row],[table]]&amp;"[employee]"),C77,INDIRECT(Hours[[#This Row],[table]]&amp;"[date]"),F77,INDIRECT(Hours[[#This Row],[table]]&amp;"[code]"),{"a","x",""})),"")</f>
        <v>0</v>
      </c>
      <c r="M77" s="36">
        <f ca="1">IFERROR(SUMIFS(INDIRECT(Hours[[#This Row],[table]]&amp;"[real time]"),INDIRECT(Hours[[#This Row],[table]]&amp;"[employee]"),C77,INDIRECT(Hours[[#This Row],[table]]&amp;"[date]"),F77,INDIRECT(Hours[[#This Row],[table]]&amp;"[code]"),"m"),"")</f>
        <v>0</v>
      </c>
      <c r="N77" s="36">
        <f ca="1">IFERROR(SUMIFS(INDIRECT(Hours[[#This Row],[table]]&amp;"[real time]"),INDIRECT(Hours[[#This Row],[table]]&amp;"[employee]"),C77,INDIRECT(Hours[[#This Row],[table]]&amp;"[date]"),F77,INDIRECT(Hours[[#This Row],[table]]&amp;"[code]"),"e"),"")</f>
        <v>0</v>
      </c>
    </row>
    <row r="78" spans="1:14" x14ac:dyDescent="0.25">
      <c r="A78" s="28" t="s">
        <v>62</v>
      </c>
      <c r="B78" s="28" t="s">
        <v>49</v>
      </c>
      <c r="C78" s="1" t="s">
        <v>63</v>
      </c>
      <c r="D78" s="32" t="str">
        <f>IF(NOT(ISBLANK(Hours[[#This Row],[employee]])),IF(ISNUMBER(Hours[[#This Row],[employee]]),"REG","CON"),"")</f>
        <v>CON</v>
      </c>
      <c r="E78" s="32" t="str">
        <f>IF(Hours[[#This Row],[cat]]="CON","Contractors",IF(Hours[[#This Row],[cat]]="REG","Employees",""))</f>
        <v>Contractors</v>
      </c>
      <c r="F78" s="34">
        <v>44166</v>
      </c>
      <c r="G78" s="35">
        <v>0.67986111111111114</v>
      </c>
      <c r="H78" s="35">
        <v>8.3333333333333329E-2</v>
      </c>
      <c r="I78" s="29">
        <f>IF(H78&lt;G78,24+H78-G78,H78-G78)</f>
        <v>23.40347222222222</v>
      </c>
      <c r="J78" s="36">
        <v>0.375</v>
      </c>
      <c r="K78" s="36">
        <f ca="1">IFERROR(SUMIFS(INDIRECT(Hours[[#This Row],[table]]&amp;"[real time]"),INDIRECT(Hours[[#This Row],[table]]&amp;"[employee]"),C78,INDIRECT(Hours[[#This Row],[table]]&amp;"[date]"),F78),"")</f>
        <v>0</v>
      </c>
      <c r="L78" s="36">
        <f ca="1">IFERROR(SUM(SUMIFS(INDIRECT(Hours[[#This Row],[table]]&amp;"[real time]"),INDIRECT(Hours[[#This Row],[table]]&amp;"[employee]"),C78,INDIRECT(Hours[[#This Row],[table]]&amp;"[date]"),F78,INDIRECT(Hours[[#This Row],[table]]&amp;"[code]"),{"a","x",""})),"")</f>
        <v>0</v>
      </c>
      <c r="M78" s="36">
        <f ca="1">IFERROR(SUMIFS(INDIRECT(Hours[[#This Row],[table]]&amp;"[real time]"),INDIRECT(Hours[[#This Row],[table]]&amp;"[employee]"),C78,INDIRECT(Hours[[#This Row],[table]]&amp;"[date]"),F78,INDIRECT(Hours[[#This Row],[table]]&amp;"[code]"),"m"),"")</f>
        <v>0</v>
      </c>
      <c r="N78" s="36">
        <f ca="1">IFERROR(SUMIFS(INDIRECT(Hours[[#This Row],[table]]&amp;"[real time]"),INDIRECT(Hours[[#This Row],[table]]&amp;"[employee]"),C78,INDIRECT(Hours[[#This Row],[table]]&amp;"[date]"),F78,INDIRECT(Hours[[#This Row],[table]]&amp;"[code]"),"e"),"")</f>
        <v>0</v>
      </c>
    </row>
    <row r="79" spans="1:14" x14ac:dyDescent="0.25">
      <c r="A79" s="28" t="s">
        <v>62</v>
      </c>
      <c r="B79" s="28" t="s">
        <v>49</v>
      </c>
      <c r="C79" s="1" t="s">
        <v>63</v>
      </c>
      <c r="D79" s="32" t="str">
        <f>IF(NOT(ISBLANK(Hours[[#This Row],[employee]])),IF(ISNUMBER(Hours[[#This Row],[employee]]),"REG","CON"),"")</f>
        <v>CON</v>
      </c>
      <c r="E79" s="32" t="str">
        <f>IF(Hours[[#This Row],[cat]]="CON","Contractors",IF(Hours[[#This Row],[cat]]="REG","Employees",""))</f>
        <v>Contractors</v>
      </c>
      <c r="F79" s="34">
        <v>44167</v>
      </c>
      <c r="G79" s="35">
        <v>0.67638888888888893</v>
      </c>
      <c r="H79" s="35">
        <v>4.2361111111111106E-2</v>
      </c>
      <c r="I79" s="29">
        <f>IF(H79&lt;G79,24+H79-G79,H79-G79)</f>
        <v>23.365972222222226</v>
      </c>
      <c r="J79" s="36">
        <v>0.33333333333333331</v>
      </c>
      <c r="K79" s="36">
        <f ca="1">IFERROR(SUMIFS(INDIRECT(Hours[[#This Row],[table]]&amp;"[real time]"),INDIRECT(Hours[[#This Row],[table]]&amp;"[employee]"),C79,INDIRECT(Hours[[#This Row],[table]]&amp;"[date]"),F79),"")</f>
        <v>0</v>
      </c>
      <c r="L79" s="36">
        <f ca="1">IFERROR(SUM(SUMIFS(INDIRECT(Hours[[#This Row],[table]]&amp;"[real time]"),INDIRECT(Hours[[#This Row],[table]]&amp;"[employee]"),C79,INDIRECT(Hours[[#This Row],[table]]&amp;"[date]"),F79,INDIRECT(Hours[[#This Row],[table]]&amp;"[code]"),{"a","x",""})),"")</f>
        <v>0</v>
      </c>
      <c r="M79" s="36">
        <f ca="1">IFERROR(SUMIFS(INDIRECT(Hours[[#This Row],[table]]&amp;"[real time]"),INDIRECT(Hours[[#This Row],[table]]&amp;"[employee]"),C79,INDIRECT(Hours[[#This Row],[table]]&amp;"[date]"),F79,INDIRECT(Hours[[#This Row],[table]]&amp;"[code]"),"m"),"")</f>
        <v>0</v>
      </c>
      <c r="N79" s="36">
        <f ca="1">IFERROR(SUMIFS(INDIRECT(Hours[[#This Row],[table]]&amp;"[real time]"),INDIRECT(Hours[[#This Row],[table]]&amp;"[employee]"),C79,INDIRECT(Hours[[#This Row],[table]]&amp;"[date]"),F79,INDIRECT(Hours[[#This Row],[table]]&amp;"[code]"),"e"),"")</f>
        <v>0</v>
      </c>
    </row>
    <row r="80" spans="1:14" x14ac:dyDescent="0.25">
      <c r="A80" s="28" t="s">
        <v>62</v>
      </c>
      <c r="B80" s="28" t="s">
        <v>49</v>
      </c>
      <c r="C80" s="1" t="s">
        <v>63</v>
      </c>
      <c r="D80" s="32" t="str">
        <f>IF(NOT(ISBLANK(Hours[[#This Row],[employee]])),IF(ISNUMBER(Hours[[#This Row],[employee]]),"REG","CON"),"")</f>
        <v>CON</v>
      </c>
      <c r="E80" s="32" t="str">
        <f>IF(Hours[[#This Row],[cat]]="CON","Contractors",IF(Hours[[#This Row],[cat]]="REG","Employees",""))</f>
        <v>Contractors</v>
      </c>
      <c r="F80" s="34">
        <v>44168</v>
      </c>
      <c r="G80" s="35">
        <v>0.6777777777777777</v>
      </c>
      <c r="H80" s="35">
        <v>8.3333333333333329E-2</v>
      </c>
      <c r="I80" s="29">
        <f>IF(H80&lt;G80,24+H80-G80,H80-G80)</f>
        <v>23.405555555555555</v>
      </c>
      <c r="J80" s="36">
        <v>0.375</v>
      </c>
      <c r="K80" s="36">
        <f ca="1">IFERROR(SUMIFS(INDIRECT(Hours[[#This Row],[table]]&amp;"[real time]"),INDIRECT(Hours[[#This Row],[table]]&amp;"[employee]"),C80,INDIRECT(Hours[[#This Row],[table]]&amp;"[date]"),F80),"")</f>
        <v>0</v>
      </c>
      <c r="L80" s="36">
        <f ca="1">IFERROR(SUM(SUMIFS(INDIRECT(Hours[[#This Row],[table]]&amp;"[real time]"),INDIRECT(Hours[[#This Row],[table]]&amp;"[employee]"),C80,INDIRECT(Hours[[#This Row],[table]]&amp;"[date]"),F80,INDIRECT(Hours[[#This Row],[table]]&amp;"[code]"),{"a","x",""})),"")</f>
        <v>0</v>
      </c>
      <c r="M80" s="36">
        <f ca="1">IFERROR(SUMIFS(INDIRECT(Hours[[#This Row],[table]]&amp;"[real time]"),INDIRECT(Hours[[#This Row],[table]]&amp;"[employee]"),C80,INDIRECT(Hours[[#This Row],[table]]&amp;"[date]"),F80,INDIRECT(Hours[[#This Row],[table]]&amp;"[code]"),"m"),"")</f>
        <v>0</v>
      </c>
      <c r="N80" s="36">
        <f ca="1">IFERROR(SUMIFS(INDIRECT(Hours[[#This Row],[table]]&amp;"[real time]"),INDIRECT(Hours[[#This Row],[table]]&amp;"[employee]"),C80,INDIRECT(Hours[[#This Row],[table]]&amp;"[date]"),F80,INDIRECT(Hours[[#This Row],[table]]&amp;"[code]"),"e"),"")</f>
        <v>0</v>
      </c>
    </row>
    <row r="81" spans="1:14" x14ac:dyDescent="0.25">
      <c r="A81" s="28" t="s">
        <v>62</v>
      </c>
      <c r="B81" s="28" t="s">
        <v>49</v>
      </c>
      <c r="C81" s="1" t="s">
        <v>63</v>
      </c>
      <c r="D81" s="32" t="str">
        <f>IF(NOT(ISBLANK(Hours[[#This Row],[employee]])),IF(ISNUMBER(Hours[[#This Row],[employee]]),"REG","CON"),"")</f>
        <v>CON</v>
      </c>
      <c r="E81" s="32" t="str">
        <f>IF(Hours[[#This Row],[cat]]="CON","Contractors",IF(Hours[[#This Row],[cat]]="REG","Employees",""))</f>
        <v>Contractors</v>
      </c>
      <c r="F81" s="34">
        <v>44169</v>
      </c>
      <c r="G81" s="35">
        <v>0.68125000000000002</v>
      </c>
      <c r="H81" s="35">
        <v>4.1666666666666664E-2</v>
      </c>
      <c r="I81" s="29">
        <f>IF(H81&lt;G81,24+H81-G81,H81-G81)</f>
        <v>23.360416666666669</v>
      </c>
      <c r="J81" s="36">
        <v>0.33333333333333331</v>
      </c>
      <c r="K81" s="36">
        <f ca="1">IFERROR(SUMIFS(INDIRECT(Hours[[#This Row],[table]]&amp;"[real time]"),INDIRECT(Hours[[#This Row],[table]]&amp;"[employee]"),C81,INDIRECT(Hours[[#This Row],[table]]&amp;"[date]"),F81),"")</f>
        <v>0</v>
      </c>
      <c r="L81" s="36">
        <f ca="1">IFERROR(SUM(SUMIFS(INDIRECT(Hours[[#This Row],[table]]&amp;"[real time]"),INDIRECT(Hours[[#This Row],[table]]&amp;"[employee]"),C81,INDIRECT(Hours[[#This Row],[table]]&amp;"[date]"),F81,INDIRECT(Hours[[#This Row],[table]]&amp;"[code]"),{"a","x",""})),"")</f>
        <v>0</v>
      </c>
      <c r="M81" s="36">
        <f ca="1">IFERROR(SUMIFS(INDIRECT(Hours[[#This Row],[table]]&amp;"[real time]"),INDIRECT(Hours[[#This Row],[table]]&amp;"[employee]"),C81,INDIRECT(Hours[[#This Row],[table]]&amp;"[date]"),F81,INDIRECT(Hours[[#This Row],[table]]&amp;"[code]"),"m"),"")</f>
        <v>0</v>
      </c>
      <c r="N81" s="36">
        <f ca="1">IFERROR(SUMIFS(INDIRECT(Hours[[#This Row],[table]]&amp;"[real time]"),INDIRECT(Hours[[#This Row],[table]]&amp;"[employee]"),C81,INDIRECT(Hours[[#This Row],[table]]&amp;"[date]"),F81,INDIRECT(Hours[[#This Row],[table]]&amp;"[code]"),"e"),"")</f>
        <v>0</v>
      </c>
    </row>
    <row r="82" spans="1:14" x14ac:dyDescent="0.25">
      <c r="A82" s="28" t="s">
        <v>67</v>
      </c>
      <c r="B82" s="28" t="s">
        <v>68</v>
      </c>
      <c r="C82" s="1" t="s">
        <v>69</v>
      </c>
      <c r="D82" s="32" t="str">
        <f>IF(NOT(ISBLANK(Hours[[#This Row],[employee]])),IF(ISNUMBER(Hours[[#This Row],[employee]]),"REG","CON"),"")</f>
        <v>CON</v>
      </c>
      <c r="E82" s="32" t="str">
        <f>IF(Hours[[#This Row],[cat]]="CON","Contractors",IF(Hours[[#This Row],[cat]]="REG","Employees",""))</f>
        <v>Contractors</v>
      </c>
      <c r="F82" s="34">
        <v>44191</v>
      </c>
      <c r="G82" s="35">
        <v>0.26319444444444445</v>
      </c>
      <c r="H82" s="35">
        <v>0.66805555555555562</v>
      </c>
      <c r="I82" s="29">
        <f>IF(H82&lt;G82,24+H82-G82,H82-G82)</f>
        <v>0.40486111111111117</v>
      </c>
      <c r="J82" s="36">
        <v>0.375</v>
      </c>
      <c r="K82" s="36">
        <f ca="1">IFERROR(SUMIFS(INDIRECT(Hours[[#This Row],[table]]&amp;"[real time]"),INDIRECT(Hours[[#This Row],[table]]&amp;"[employee]"),C82,INDIRECT(Hours[[#This Row],[table]]&amp;"[date]"),F82),"")</f>
        <v>0</v>
      </c>
      <c r="L82" s="36">
        <f ca="1">IFERROR(SUM(SUMIFS(INDIRECT(Hours[[#This Row],[table]]&amp;"[real time]"),INDIRECT(Hours[[#This Row],[table]]&amp;"[employee]"),C82,INDIRECT(Hours[[#This Row],[table]]&amp;"[date]"),F82,INDIRECT(Hours[[#This Row],[table]]&amp;"[code]"),{"a","x",""})),"")</f>
        <v>0</v>
      </c>
      <c r="M82" s="36">
        <f ca="1">IFERROR(SUMIFS(INDIRECT(Hours[[#This Row],[table]]&amp;"[real time]"),INDIRECT(Hours[[#This Row],[table]]&amp;"[employee]"),C82,INDIRECT(Hours[[#This Row],[table]]&amp;"[date]"),F82,INDIRECT(Hours[[#This Row],[table]]&amp;"[code]"),"m"),"")</f>
        <v>0</v>
      </c>
      <c r="N82" s="36">
        <f ca="1">IFERROR(SUMIFS(INDIRECT(Hours[[#This Row],[table]]&amp;"[real time]"),INDIRECT(Hours[[#This Row],[table]]&amp;"[employee]"),C82,INDIRECT(Hours[[#This Row],[table]]&amp;"[date]"),F82,INDIRECT(Hours[[#This Row],[table]]&amp;"[code]"),"e"),"")</f>
        <v>0</v>
      </c>
    </row>
    <row r="83" spans="1:14" x14ac:dyDescent="0.25">
      <c r="A83" s="28" t="s">
        <v>67</v>
      </c>
      <c r="B83" s="28" t="s">
        <v>68</v>
      </c>
      <c r="C83" s="1" t="s">
        <v>69</v>
      </c>
      <c r="D83" s="32" t="str">
        <f>IF(NOT(ISBLANK(Hours[[#This Row],[employee]])),IF(ISNUMBER(Hours[[#This Row],[employee]]),"REG","CON"),"")</f>
        <v>CON</v>
      </c>
      <c r="E83" s="32" t="str">
        <f>IF(Hours[[#This Row],[cat]]="CON","Contractors",IF(Hours[[#This Row],[cat]]="REG","Employees",""))</f>
        <v>Contractors</v>
      </c>
      <c r="F83" s="34">
        <v>44162</v>
      </c>
      <c r="G83" s="35">
        <v>0.26666666666666666</v>
      </c>
      <c r="H83" s="35">
        <v>0.67708333333333337</v>
      </c>
      <c r="I83" s="29">
        <f>IF(H83&lt;G83,24+H83-G83,H83-G83)</f>
        <v>0.41041666666666671</v>
      </c>
      <c r="J83" s="36">
        <v>0.38541666666666669</v>
      </c>
      <c r="K83" s="36">
        <f ca="1">IFERROR(SUMIFS(INDIRECT(Hours[[#This Row],[table]]&amp;"[real time]"),INDIRECT(Hours[[#This Row],[table]]&amp;"[employee]"),C83,INDIRECT(Hours[[#This Row],[table]]&amp;"[date]"),F83),"")</f>
        <v>0</v>
      </c>
      <c r="L83" s="36">
        <f ca="1">IFERROR(SUM(SUMIFS(INDIRECT(Hours[[#This Row],[table]]&amp;"[real time]"),INDIRECT(Hours[[#This Row],[table]]&amp;"[employee]"),C83,INDIRECT(Hours[[#This Row],[table]]&amp;"[date]"),F83,INDIRECT(Hours[[#This Row],[table]]&amp;"[code]"),{"a","x",""})),"")</f>
        <v>0</v>
      </c>
      <c r="M83" s="36">
        <f ca="1">IFERROR(SUMIFS(INDIRECT(Hours[[#This Row],[table]]&amp;"[real time]"),INDIRECT(Hours[[#This Row],[table]]&amp;"[employee]"),C83,INDIRECT(Hours[[#This Row],[table]]&amp;"[date]"),F83,INDIRECT(Hours[[#This Row],[table]]&amp;"[code]"),"m"),"")</f>
        <v>0</v>
      </c>
      <c r="N83" s="36">
        <f ca="1">IFERROR(SUMIFS(INDIRECT(Hours[[#This Row],[table]]&amp;"[real time]"),INDIRECT(Hours[[#This Row],[table]]&amp;"[employee]"),C83,INDIRECT(Hours[[#This Row],[table]]&amp;"[date]"),F83,INDIRECT(Hours[[#This Row],[table]]&amp;"[code]"),"e"),"")</f>
        <v>0</v>
      </c>
    </row>
    <row r="84" spans="1:14" x14ac:dyDescent="0.25">
      <c r="A84" s="28" t="s">
        <v>67</v>
      </c>
      <c r="B84" s="28" t="s">
        <v>68</v>
      </c>
      <c r="C84" s="1" t="s">
        <v>69</v>
      </c>
      <c r="D84" s="32" t="str">
        <f>IF(NOT(ISBLANK(Hours[[#This Row],[employee]])),IF(ISNUMBER(Hours[[#This Row],[employee]]),"REG","CON"),"")</f>
        <v>CON</v>
      </c>
      <c r="E84" s="32" t="str">
        <f>IF(Hours[[#This Row],[cat]]="CON","Contractors",IF(Hours[[#This Row],[cat]]="REG","Employees",""))</f>
        <v>Contractors</v>
      </c>
      <c r="F84" s="34">
        <v>44163</v>
      </c>
      <c r="G84" s="35">
        <v>0.26180555555555557</v>
      </c>
      <c r="H84" s="35">
        <v>0.62569444444444444</v>
      </c>
      <c r="I84" s="29">
        <f>IF(H84&lt;G84,24+H84-G84,H84-G84)</f>
        <v>0.36388888888888887</v>
      </c>
      <c r="J84" s="36">
        <v>0.35416666666666669</v>
      </c>
      <c r="K84" s="36">
        <f ca="1">IFERROR(SUMIFS(INDIRECT(Hours[[#This Row],[table]]&amp;"[real time]"),INDIRECT(Hours[[#This Row],[table]]&amp;"[employee]"),C84,INDIRECT(Hours[[#This Row],[table]]&amp;"[date]"),F84),"")</f>
        <v>0</v>
      </c>
      <c r="L84" s="36">
        <f ca="1">IFERROR(SUM(SUMIFS(INDIRECT(Hours[[#This Row],[table]]&amp;"[real time]"),INDIRECT(Hours[[#This Row],[table]]&amp;"[employee]"),C84,INDIRECT(Hours[[#This Row],[table]]&amp;"[date]"),F84,INDIRECT(Hours[[#This Row],[table]]&amp;"[code]"),{"a","x",""})),"")</f>
        <v>0</v>
      </c>
      <c r="M84" s="36">
        <f ca="1">IFERROR(SUMIFS(INDIRECT(Hours[[#This Row],[table]]&amp;"[real time]"),INDIRECT(Hours[[#This Row],[table]]&amp;"[employee]"),C84,INDIRECT(Hours[[#This Row],[table]]&amp;"[date]"),F84,INDIRECT(Hours[[#This Row],[table]]&amp;"[code]"),"m"),"")</f>
        <v>0</v>
      </c>
      <c r="N84" s="36">
        <f ca="1">IFERROR(SUMIFS(INDIRECT(Hours[[#This Row],[table]]&amp;"[real time]"),INDIRECT(Hours[[#This Row],[table]]&amp;"[employee]"),C84,INDIRECT(Hours[[#This Row],[table]]&amp;"[date]"),F84,INDIRECT(Hours[[#This Row],[table]]&amp;"[code]"),"e"),"")</f>
        <v>0</v>
      </c>
    </row>
    <row r="85" spans="1:14" x14ac:dyDescent="0.25">
      <c r="A85" s="28" t="s">
        <v>67</v>
      </c>
      <c r="B85" s="28" t="s">
        <v>68</v>
      </c>
      <c r="C85" s="1" t="s">
        <v>69</v>
      </c>
      <c r="D85" s="32" t="str">
        <f>IF(NOT(ISBLANK(Hours[[#This Row],[employee]])),IF(ISNUMBER(Hours[[#This Row],[employee]]),"REG","CON"),"")</f>
        <v>CON</v>
      </c>
      <c r="E85" s="32" t="str">
        <f>IF(Hours[[#This Row],[cat]]="CON","Contractors",IF(Hours[[#This Row],[cat]]="REG","Employees",""))</f>
        <v>Contractors</v>
      </c>
      <c r="F85" s="34">
        <v>44165</v>
      </c>
      <c r="G85" s="35">
        <v>0.27083333333333331</v>
      </c>
      <c r="H85" s="35">
        <v>0.7090277777777777</v>
      </c>
      <c r="I85" s="29">
        <f>IF(H85&lt;G85,24+H85-G85,H85-G85)</f>
        <v>0.43819444444444439</v>
      </c>
      <c r="J85" s="36">
        <v>0.41666666666666669</v>
      </c>
      <c r="K85" s="36">
        <f ca="1">IFERROR(SUMIFS(INDIRECT(Hours[[#This Row],[table]]&amp;"[real time]"),INDIRECT(Hours[[#This Row],[table]]&amp;"[employee]"),C85,INDIRECT(Hours[[#This Row],[table]]&amp;"[date]"),F85),"")</f>
        <v>0</v>
      </c>
      <c r="L85" s="36">
        <f ca="1">IFERROR(SUM(SUMIFS(INDIRECT(Hours[[#This Row],[table]]&amp;"[real time]"),INDIRECT(Hours[[#This Row],[table]]&amp;"[employee]"),C85,INDIRECT(Hours[[#This Row],[table]]&amp;"[date]"),F85,INDIRECT(Hours[[#This Row],[table]]&amp;"[code]"),{"a","x",""})),"")</f>
        <v>0</v>
      </c>
      <c r="M85" s="36">
        <f ca="1">IFERROR(SUMIFS(INDIRECT(Hours[[#This Row],[table]]&amp;"[real time]"),INDIRECT(Hours[[#This Row],[table]]&amp;"[employee]"),C85,INDIRECT(Hours[[#This Row],[table]]&amp;"[date]"),F85,INDIRECT(Hours[[#This Row],[table]]&amp;"[code]"),"m"),"")</f>
        <v>0</v>
      </c>
      <c r="N85" s="36">
        <f ca="1">IFERROR(SUMIFS(INDIRECT(Hours[[#This Row],[table]]&amp;"[real time]"),INDIRECT(Hours[[#This Row],[table]]&amp;"[employee]"),C85,INDIRECT(Hours[[#This Row],[table]]&amp;"[date]"),F85,INDIRECT(Hours[[#This Row],[table]]&amp;"[code]"),"e"),"")</f>
        <v>0</v>
      </c>
    </row>
    <row r="86" spans="1:14" x14ac:dyDescent="0.25">
      <c r="A86" s="28" t="s">
        <v>67</v>
      </c>
      <c r="B86" s="28" t="s">
        <v>68</v>
      </c>
      <c r="C86" s="1" t="s">
        <v>69</v>
      </c>
      <c r="D86" s="32" t="str">
        <f>IF(NOT(ISBLANK(Hours[[#This Row],[employee]])),IF(ISNUMBER(Hours[[#This Row],[employee]]),"REG","CON"),"")</f>
        <v>CON</v>
      </c>
      <c r="E86" s="32" t="str">
        <f>IF(Hours[[#This Row],[cat]]="CON","Contractors",IF(Hours[[#This Row],[cat]]="REG","Employees",""))</f>
        <v>Contractors</v>
      </c>
      <c r="F86" s="34">
        <v>44166</v>
      </c>
      <c r="G86" s="35">
        <v>0.27430555555555552</v>
      </c>
      <c r="H86" s="35">
        <v>0.71875</v>
      </c>
      <c r="I86" s="29">
        <f>IF(H86&lt;G86,24+H86-G86,H86-G86)</f>
        <v>0.44444444444444448</v>
      </c>
      <c r="J86" s="36">
        <v>0.41666666666666669</v>
      </c>
      <c r="K86" s="36">
        <f ca="1">IFERROR(SUMIFS(INDIRECT(Hours[[#This Row],[table]]&amp;"[real time]"),INDIRECT(Hours[[#This Row],[table]]&amp;"[employee]"),C86,INDIRECT(Hours[[#This Row],[table]]&amp;"[date]"),F86),"")</f>
        <v>0</v>
      </c>
      <c r="L86" s="36">
        <f ca="1">IFERROR(SUM(SUMIFS(INDIRECT(Hours[[#This Row],[table]]&amp;"[real time]"),INDIRECT(Hours[[#This Row],[table]]&amp;"[employee]"),C86,INDIRECT(Hours[[#This Row],[table]]&amp;"[date]"),F86,INDIRECT(Hours[[#This Row],[table]]&amp;"[code]"),{"a","x",""})),"")</f>
        <v>0</v>
      </c>
      <c r="M86" s="36">
        <f ca="1">IFERROR(SUMIFS(INDIRECT(Hours[[#This Row],[table]]&amp;"[real time]"),INDIRECT(Hours[[#This Row],[table]]&amp;"[employee]"),C86,INDIRECT(Hours[[#This Row],[table]]&amp;"[date]"),F86,INDIRECT(Hours[[#This Row],[table]]&amp;"[code]"),"m"),"")</f>
        <v>0</v>
      </c>
      <c r="N86" s="36">
        <f ca="1">IFERROR(SUMIFS(INDIRECT(Hours[[#This Row],[table]]&amp;"[real time]"),INDIRECT(Hours[[#This Row],[table]]&amp;"[employee]"),C86,INDIRECT(Hours[[#This Row],[table]]&amp;"[date]"),F86,INDIRECT(Hours[[#This Row],[table]]&amp;"[code]"),"e"),"")</f>
        <v>0</v>
      </c>
    </row>
    <row r="87" spans="1:14" x14ac:dyDescent="0.25">
      <c r="A87" s="28" t="s">
        <v>67</v>
      </c>
      <c r="B87" s="28" t="s">
        <v>68</v>
      </c>
      <c r="C87" s="1" t="s">
        <v>69</v>
      </c>
      <c r="D87" s="32" t="str">
        <f>IF(NOT(ISBLANK(Hours[[#This Row],[employee]])),IF(ISNUMBER(Hours[[#This Row],[employee]]),"REG","CON"),"")</f>
        <v>CON</v>
      </c>
      <c r="E87" s="32" t="str">
        <f>IF(Hours[[#This Row],[cat]]="CON","Contractors",IF(Hours[[#This Row],[cat]]="REG","Employees",""))</f>
        <v>Contractors</v>
      </c>
      <c r="F87" s="34">
        <v>44167</v>
      </c>
      <c r="G87" s="35">
        <v>0.2722222222222222</v>
      </c>
      <c r="H87" s="35">
        <v>0.70833333333333337</v>
      </c>
      <c r="I87" s="29">
        <f>IF(H87&lt;G87,24+H87-G87,H87-G87)</f>
        <v>0.43611111111111117</v>
      </c>
      <c r="J87" s="36">
        <v>0.41666666666666669</v>
      </c>
      <c r="K87" s="36">
        <f ca="1">IFERROR(SUMIFS(INDIRECT(Hours[[#This Row],[table]]&amp;"[real time]"),INDIRECT(Hours[[#This Row],[table]]&amp;"[employee]"),C87,INDIRECT(Hours[[#This Row],[table]]&amp;"[date]"),F87),"")</f>
        <v>0</v>
      </c>
      <c r="L87" s="36">
        <f ca="1">IFERROR(SUM(SUMIFS(INDIRECT(Hours[[#This Row],[table]]&amp;"[real time]"),INDIRECT(Hours[[#This Row],[table]]&amp;"[employee]"),C87,INDIRECT(Hours[[#This Row],[table]]&amp;"[date]"),F87,INDIRECT(Hours[[#This Row],[table]]&amp;"[code]"),{"a","x",""})),"")</f>
        <v>0</v>
      </c>
      <c r="M87" s="36">
        <f ca="1">IFERROR(SUMIFS(INDIRECT(Hours[[#This Row],[table]]&amp;"[real time]"),INDIRECT(Hours[[#This Row],[table]]&amp;"[employee]"),C87,INDIRECT(Hours[[#This Row],[table]]&amp;"[date]"),F87,INDIRECT(Hours[[#This Row],[table]]&amp;"[code]"),"m"),"")</f>
        <v>0</v>
      </c>
      <c r="N87" s="36">
        <f ca="1">IFERROR(SUMIFS(INDIRECT(Hours[[#This Row],[table]]&amp;"[real time]"),INDIRECT(Hours[[#This Row],[table]]&amp;"[employee]"),C87,INDIRECT(Hours[[#This Row],[table]]&amp;"[date]"),F87,INDIRECT(Hours[[#This Row],[table]]&amp;"[code]"),"e"),"")</f>
        <v>0</v>
      </c>
    </row>
    <row r="88" spans="1:14" x14ac:dyDescent="0.25">
      <c r="A88" s="28" t="s">
        <v>67</v>
      </c>
      <c r="B88" s="28" t="s">
        <v>68</v>
      </c>
      <c r="C88" s="1" t="s">
        <v>69</v>
      </c>
      <c r="D88" s="32" t="str">
        <f>IF(NOT(ISBLANK(Hours[[#This Row],[employee]])),IF(ISNUMBER(Hours[[#This Row],[employee]]),"REG","CON"),"")</f>
        <v>CON</v>
      </c>
      <c r="E88" s="32" t="str">
        <f>IF(Hours[[#This Row],[cat]]="CON","Contractors",IF(Hours[[#This Row],[cat]]="REG","Employees",""))</f>
        <v>Contractors</v>
      </c>
      <c r="F88" s="34">
        <v>44168</v>
      </c>
      <c r="G88" s="35">
        <v>0.27569444444444446</v>
      </c>
      <c r="H88" s="35">
        <v>0.72916666666666663</v>
      </c>
      <c r="I88" s="29">
        <f>IF(H88&lt;G88,24+H88-G88,H88-G88)</f>
        <v>0.45347222222222217</v>
      </c>
      <c r="J88" s="36">
        <v>0.4375</v>
      </c>
      <c r="K88" s="36">
        <f ca="1">IFERROR(SUMIFS(INDIRECT(Hours[[#This Row],[table]]&amp;"[real time]"),INDIRECT(Hours[[#This Row],[table]]&amp;"[employee]"),C88,INDIRECT(Hours[[#This Row],[table]]&amp;"[date]"),F88),"")</f>
        <v>0</v>
      </c>
      <c r="L88" s="36">
        <f ca="1">IFERROR(SUM(SUMIFS(INDIRECT(Hours[[#This Row],[table]]&amp;"[real time]"),INDIRECT(Hours[[#This Row],[table]]&amp;"[employee]"),C88,INDIRECT(Hours[[#This Row],[table]]&amp;"[date]"),F88,INDIRECT(Hours[[#This Row],[table]]&amp;"[code]"),{"a","x",""})),"")</f>
        <v>0</v>
      </c>
      <c r="M88" s="36">
        <f ca="1">IFERROR(SUMIFS(INDIRECT(Hours[[#This Row],[table]]&amp;"[real time]"),INDIRECT(Hours[[#This Row],[table]]&amp;"[employee]"),C88,INDIRECT(Hours[[#This Row],[table]]&amp;"[date]"),F88,INDIRECT(Hours[[#This Row],[table]]&amp;"[code]"),"m"),"")</f>
        <v>0</v>
      </c>
      <c r="N88" s="36">
        <f ca="1">IFERROR(SUMIFS(INDIRECT(Hours[[#This Row],[table]]&amp;"[real time]"),INDIRECT(Hours[[#This Row],[table]]&amp;"[employee]"),C88,INDIRECT(Hours[[#This Row],[table]]&amp;"[date]"),F88,INDIRECT(Hours[[#This Row],[table]]&amp;"[code]"),"e"),"")</f>
        <v>0</v>
      </c>
    </row>
    <row r="89" spans="1:14" x14ac:dyDescent="0.25">
      <c r="A89" s="28" t="s">
        <v>67</v>
      </c>
      <c r="B89" s="28" t="s">
        <v>68</v>
      </c>
      <c r="C89" s="1" t="s">
        <v>69</v>
      </c>
      <c r="D89" s="32" t="str">
        <f>IF(NOT(ISBLANK(Hours[[#This Row],[employee]])),IF(ISNUMBER(Hours[[#This Row],[employee]]),"REG","CON"),"")</f>
        <v>CON</v>
      </c>
      <c r="E89" s="32" t="str">
        <f>IF(Hours[[#This Row],[cat]]="CON","Contractors",IF(Hours[[#This Row],[cat]]="REG","Employees",""))</f>
        <v>Contractors</v>
      </c>
      <c r="F89" s="34">
        <v>44169</v>
      </c>
      <c r="G89" s="35">
        <v>0.26527777777777778</v>
      </c>
      <c r="H89" s="35">
        <v>0.79791666666666661</v>
      </c>
      <c r="I89" s="29">
        <f>IF(H89&lt;G89,24+H89-G89,H89-G89)</f>
        <v>0.53263888888888888</v>
      </c>
      <c r="J89" s="36">
        <v>0.5</v>
      </c>
      <c r="K89" s="36">
        <f ca="1">IFERROR(SUMIFS(INDIRECT(Hours[[#This Row],[table]]&amp;"[real time]"),INDIRECT(Hours[[#This Row],[table]]&amp;"[employee]"),C89,INDIRECT(Hours[[#This Row],[table]]&amp;"[date]"),F89),"")</f>
        <v>0</v>
      </c>
      <c r="L89" s="36">
        <f ca="1">IFERROR(SUM(SUMIFS(INDIRECT(Hours[[#This Row],[table]]&amp;"[real time]"),INDIRECT(Hours[[#This Row],[table]]&amp;"[employee]"),C89,INDIRECT(Hours[[#This Row],[table]]&amp;"[date]"),F89,INDIRECT(Hours[[#This Row],[table]]&amp;"[code]"),{"a","x",""})),"")</f>
        <v>0</v>
      </c>
      <c r="M89" s="36">
        <f ca="1">IFERROR(SUMIFS(INDIRECT(Hours[[#This Row],[table]]&amp;"[real time]"),INDIRECT(Hours[[#This Row],[table]]&amp;"[employee]"),C89,INDIRECT(Hours[[#This Row],[table]]&amp;"[date]"),F89,INDIRECT(Hours[[#This Row],[table]]&amp;"[code]"),"m"),"")</f>
        <v>0</v>
      </c>
      <c r="N89" s="36">
        <f ca="1">IFERROR(SUMIFS(INDIRECT(Hours[[#This Row],[table]]&amp;"[real time]"),INDIRECT(Hours[[#This Row],[table]]&amp;"[employee]"),C89,INDIRECT(Hours[[#This Row],[table]]&amp;"[date]"),F89,INDIRECT(Hours[[#This Row],[table]]&amp;"[code]"),"e"),"")</f>
        <v>0</v>
      </c>
    </row>
    <row r="90" spans="1:14" x14ac:dyDescent="0.25">
      <c r="A90" s="28" t="s">
        <v>70</v>
      </c>
      <c r="B90" s="28" t="s">
        <v>71</v>
      </c>
      <c r="C90" s="1" t="s">
        <v>72</v>
      </c>
      <c r="D90" s="32" t="str">
        <f>IF(NOT(ISBLANK(Hours[[#This Row],[employee]])),IF(ISNUMBER(Hours[[#This Row],[employee]]),"REG","CON"),"")</f>
        <v>CON</v>
      </c>
      <c r="E90" s="32" t="str">
        <f>IF(Hours[[#This Row],[cat]]="CON","Contractors",IF(Hours[[#This Row],[cat]]="REG","Employees",""))</f>
        <v>Contractors</v>
      </c>
      <c r="F90" s="34">
        <v>44158</v>
      </c>
      <c r="G90" s="35">
        <v>0.25069444444444444</v>
      </c>
      <c r="H90" s="35">
        <v>0.70833333333333337</v>
      </c>
      <c r="I90" s="29">
        <f>IF(H90&lt;G90,24+H90-G90,H90-G90)</f>
        <v>0.45763888888888893</v>
      </c>
      <c r="J90" s="36">
        <v>0.4375</v>
      </c>
      <c r="K90" s="36">
        <f ca="1">IFERROR(SUMIFS(INDIRECT(Hours[[#This Row],[table]]&amp;"[real time]"),INDIRECT(Hours[[#This Row],[table]]&amp;"[employee]"),C90,INDIRECT(Hours[[#This Row],[table]]&amp;"[date]"),F90),"")</f>
        <v>0</v>
      </c>
      <c r="L90" s="36">
        <f ca="1">IFERROR(SUM(SUMIFS(INDIRECT(Hours[[#This Row],[table]]&amp;"[real time]"),INDIRECT(Hours[[#This Row],[table]]&amp;"[employee]"),C90,INDIRECT(Hours[[#This Row],[table]]&amp;"[date]"),F90,INDIRECT(Hours[[#This Row],[table]]&amp;"[code]"),{"a","x",""})),"")</f>
        <v>0</v>
      </c>
      <c r="M90" s="36">
        <f ca="1">IFERROR(SUMIFS(INDIRECT(Hours[[#This Row],[table]]&amp;"[real time]"),INDIRECT(Hours[[#This Row],[table]]&amp;"[employee]"),C90,INDIRECT(Hours[[#This Row],[table]]&amp;"[date]"),F90,INDIRECT(Hours[[#This Row],[table]]&amp;"[code]"),"m"),"")</f>
        <v>0</v>
      </c>
      <c r="N90" s="36">
        <f ca="1">IFERROR(SUMIFS(INDIRECT(Hours[[#This Row],[table]]&amp;"[real time]"),INDIRECT(Hours[[#This Row],[table]]&amp;"[employee]"),C90,INDIRECT(Hours[[#This Row],[table]]&amp;"[date]"),F90,INDIRECT(Hours[[#This Row],[table]]&amp;"[code]"),"e"),"")</f>
        <v>0</v>
      </c>
    </row>
    <row r="91" spans="1:14" x14ac:dyDescent="0.25">
      <c r="A91" s="28" t="s">
        <v>70</v>
      </c>
      <c r="B91" s="28" t="s">
        <v>71</v>
      </c>
      <c r="C91" s="1" t="s">
        <v>72</v>
      </c>
      <c r="D91" s="32" t="str">
        <f>IF(NOT(ISBLANK(Hours[[#This Row],[employee]])),IF(ISNUMBER(Hours[[#This Row],[employee]]),"REG","CON"),"")</f>
        <v>CON</v>
      </c>
      <c r="E91" s="32" t="str">
        <f>IF(Hours[[#This Row],[cat]]="CON","Contractors",IF(Hours[[#This Row],[cat]]="REG","Employees",""))</f>
        <v>Contractors</v>
      </c>
      <c r="F91" s="34">
        <v>44159</v>
      </c>
      <c r="G91" s="35">
        <v>0.24652777777777779</v>
      </c>
      <c r="H91" s="35">
        <v>0.6875</v>
      </c>
      <c r="I91" s="29">
        <f>IF(H91&lt;G91,24+H91-G91,H91-G91)</f>
        <v>0.44097222222222221</v>
      </c>
      <c r="J91" s="36">
        <v>0.41666666666666669</v>
      </c>
      <c r="K91" s="36">
        <f ca="1">IFERROR(SUMIFS(INDIRECT(Hours[[#This Row],[table]]&amp;"[real time]"),INDIRECT(Hours[[#This Row],[table]]&amp;"[employee]"),C91,INDIRECT(Hours[[#This Row],[table]]&amp;"[date]"),F91),"")</f>
        <v>0</v>
      </c>
      <c r="L91" s="36">
        <f ca="1">IFERROR(SUM(SUMIFS(INDIRECT(Hours[[#This Row],[table]]&amp;"[real time]"),INDIRECT(Hours[[#This Row],[table]]&amp;"[employee]"),C91,INDIRECT(Hours[[#This Row],[table]]&amp;"[date]"),F91,INDIRECT(Hours[[#This Row],[table]]&amp;"[code]"),{"a","x",""})),"")</f>
        <v>0</v>
      </c>
      <c r="M91" s="36">
        <f ca="1">IFERROR(SUMIFS(INDIRECT(Hours[[#This Row],[table]]&amp;"[real time]"),INDIRECT(Hours[[#This Row],[table]]&amp;"[employee]"),C91,INDIRECT(Hours[[#This Row],[table]]&amp;"[date]"),F91,INDIRECT(Hours[[#This Row],[table]]&amp;"[code]"),"m"),"")</f>
        <v>0</v>
      </c>
      <c r="N91" s="36">
        <f ca="1">IFERROR(SUMIFS(INDIRECT(Hours[[#This Row],[table]]&amp;"[real time]"),INDIRECT(Hours[[#This Row],[table]]&amp;"[employee]"),C91,INDIRECT(Hours[[#This Row],[table]]&amp;"[date]"),F91,INDIRECT(Hours[[#This Row],[table]]&amp;"[code]"),"e"),"")</f>
        <v>0</v>
      </c>
    </row>
    <row r="92" spans="1:14" x14ac:dyDescent="0.25">
      <c r="A92" s="28" t="s">
        <v>70</v>
      </c>
      <c r="B92" s="28" t="s">
        <v>71</v>
      </c>
      <c r="C92" s="1" t="s">
        <v>72</v>
      </c>
      <c r="D92" s="32" t="str">
        <f>IF(NOT(ISBLANK(Hours[[#This Row],[employee]])),IF(ISNUMBER(Hours[[#This Row],[employee]]),"REG","CON"),"")</f>
        <v>CON</v>
      </c>
      <c r="E92" s="32" t="str">
        <f>IF(Hours[[#This Row],[cat]]="CON","Contractors",IF(Hours[[#This Row],[cat]]="REG","Employees",""))</f>
        <v>Contractors</v>
      </c>
      <c r="F92" s="34">
        <v>44160</v>
      </c>
      <c r="G92" s="35">
        <v>0.25555555555555559</v>
      </c>
      <c r="H92" s="35">
        <v>0.64583333333333337</v>
      </c>
      <c r="I92" s="29">
        <f>IF(H92&lt;G92,24+H92-G92,H92-G92)</f>
        <v>0.39027777777777778</v>
      </c>
      <c r="J92" s="36">
        <v>0.35416666666666669</v>
      </c>
      <c r="K92" s="36">
        <f ca="1">IFERROR(SUMIFS(INDIRECT(Hours[[#This Row],[table]]&amp;"[real time]"),INDIRECT(Hours[[#This Row],[table]]&amp;"[employee]"),C92,INDIRECT(Hours[[#This Row],[table]]&amp;"[date]"),F92),"")</f>
        <v>0</v>
      </c>
      <c r="L92" s="36">
        <f ca="1">IFERROR(SUM(SUMIFS(INDIRECT(Hours[[#This Row],[table]]&amp;"[real time]"),INDIRECT(Hours[[#This Row],[table]]&amp;"[employee]"),C92,INDIRECT(Hours[[#This Row],[table]]&amp;"[date]"),F92,INDIRECT(Hours[[#This Row],[table]]&amp;"[code]"),{"a","x",""})),"")</f>
        <v>0</v>
      </c>
      <c r="M92" s="36">
        <f ca="1">IFERROR(SUMIFS(INDIRECT(Hours[[#This Row],[table]]&amp;"[real time]"),INDIRECT(Hours[[#This Row],[table]]&amp;"[employee]"),C92,INDIRECT(Hours[[#This Row],[table]]&amp;"[date]"),F92,INDIRECT(Hours[[#This Row],[table]]&amp;"[code]"),"m"),"")</f>
        <v>0</v>
      </c>
      <c r="N92" s="36">
        <f ca="1">IFERROR(SUMIFS(INDIRECT(Hours[[#This Row],[table]]&amp;"[real time]"),INDIRECT(Hours[[#This Row],[table]]&amp;"[employee]"),C92,INDIRECT(Hours[[#This Row],[table]]&amp;"[date]"),F92,INDIRECT(Hours[[#This Row],[table]]&amp;"[code]"),"e"),"")</f>
        <v>0</v>
      </c>
    </row>
    <row r="93" spans="1:14" x14ac:dyDescent="0.25">
      <c r="A93" s="28" t="s">
        <v>70</v>
      </c>
      <c r="B93" s="28" t="s">
        <v>71</v>
      </c>
      <c r="C93" s="1" t="s">
        <v>72</v>
      </c>
      <c r="D93" s="32" t="str">
        <f>IF(NOT(ISBLANK(Hours[[#This Row],[employee]])),IF(ISNUMBER(Hours[[#This Row],[employee]]),"REG","CON"),"")</f>
        <v>CON</v>
      </c>
      <c r="E93" s="32" t="str">
        <f>IF(Hours[[#This Row],[cat]]="CON","Contractors",IF(Hours[[#This Row],[cat]]="REG","Employees",""))</f>
        <v>Contractors</v>
      </c>
      <c r="F93" s="34">
        <v>44161</v>
      </c>
      <c r="G93" s="35">
        <v>0.24930555555555556</v>
      </c>
      <c r="H93" s="35">
        <v>0.69236111111111109</v>
      </c>
      <c r="I93" s="29">
        <f>IF(H93&lt;G93,24+H93-G93,H93-G93)</f>
        <v>0.44305555555555554</v>
      </c>
      <c r="J93" s="36">
        <v>0.41666666666666669</v>
      </c>
      <c r="K93" s="36">
        <f ca="1">IFERROR(SUMIFS(INDIRECT(Hours[[#This Row],[table]]&amp;"[real time]"),INDIRECT(Hours[[#This Row],[table]]&amp;"[employee]"),C93,INDIRECT(Hours[[#This Row],[table]]&amp;"[date]"),F93),"")</f>
        <v>0</v>
      </c>
      <c r="L93" s="36">
        <f ca="1">IFERROR(SUM(SUMIFS(INDIRECT(Hours[[#This Row],[table]]&amp;"[real time]"),INDIRECT(Hours[[#This Row],[table]]&amp;"[employee]"),C93,INDIRECT(Hours[[#This Row],[table]]&amp;"[date]"),F93,INDIRECT(Hours[[#This Row],[table]]&amp;"[code]"),{"a","x",""})),"")</f>
        <v>0</v>
      </c>
      <c r="M93" s="36">
        <f ca="1">IFERROR(SUMIFS(INDIRECT(Hours[[#This Row],[table]]&amp;"[real time]"),INDIRECT(Hours[[#This Row],[table]]&amp;"[employee]"),C93,INDIRECT(Hours[[#This Row],[table]]&amp;"[date]"),F93,INDIRECT(Hours[[#This Row],[table]]&amp;"[code]"),"m"),"")</f>
        <v>0</v>
      </c>
      <c r="N93" s="36">
        <f ca="1">IFERROR(SUMIFS(INDIRECT(Hours[[#This Row],[table]]&amp;"[real time]"),INDIRECT(Hours[[#This Row],[table]]&amp;"[employee]"),C93,INDIRECT(Hours[[#This Row],[table]]&amp;"[date]"),F93,INDIRECT(Hours[[#This Row],[table]]&amp;"[code]"),"e"),"")</f>
        <v>0</v>
      </c>
    </row>
    <row r="94" spans="1:14" x14ac:dyDescent="0.25">
      <c r="A94" s="28" t="s">
        <v>70</v>
      </c>
      <c r="B94" s="28" t="s">
        <v>71</v>
      </c>
      <c r="C94" s="1" t="s">
        <v>72</v>
      </c>
      <c r="D94" s="32" t="str">
        <f>IF(NOT(ISBLANK(Hours[[#This Row],[employee]])),IF(ISNUMBER(Hours[[#This Row],[employee]]),"REG","CON"),"")</f>
        <v>CON</v>
      </c>
      <c r="E94" s="32" t="str">
        <f>IF(Hours[[#This Row],[cat]]="CON","Contractors",IF(Hours[[#This Row],[cat]]="REG","Employees",""))</f>
        <v>Contractors</v>
      </c>
      <c r="F94" s="34">
        <v>44162</v>
      </c>
      <c r="G94" s="35">
        <v>0.24722222222222223</v>
      </c>
      <c r="H94" s="35">
        <v>0.6875</v>
      </c>
      <c r="I94" s="29">
        <f>IF(H94&lt;G94,24+H94-G94,H94-G94)</f>
        <v>0.44027777777777777</v>
      </c>
      <c r="J94" s="36">
        <v>0.41666666666666669</v>
      </c>
      <c r="K94" s="36">
        <f ca="1">IFERROR(SUMIFS(INDIRECT(Hours[[#This Row],[table]]&amp;"[real time]"),INDIRECT(Hours[[#This Row],[table]]&amp;"[employee]"),C94,INDIRECT(Hours[[#This Row],[table]]&amp;"[date]"),F94),"")</f>
        <v>0</v>
      </c>
      <c r="L94" s="36">
        <f ca="1">IFERROR(SUM(SUMIFS(INDIRECT(Hours[[#This Row],[table]]&amp;"[real time]"),INDIRECT(Hours[[#This Row],[table]]&amp;"[employee]"),C94,INDIRECT(Hours[[#This Row],[table]]&amp;"[date]"),F94,INDIRECT(Hours[[#This Row],[table]]&amp;"[code]"),{"a","x",""})),"")</f>
        <v>0</v>
      </c>
      <c r="M94" s="36">
        <f ca="1">IFERROR(SUMIFS(INDIRECT(Hours[[#This Row],[table]]&amp;"[real time]"),INDIRECT(Hours[[#This Row],[table]]&amp;"[employee]"),C94,INDIRECT(Hours[[#This Row],[table]]&amp;"[date]"),F94,INDIRECT(Hours[[#This Row],[table]]&amp;"[code]"),"m"),"")</f>
        <v>0</v>
      </c>
      <c r="N94" s="36">
        <f ca="1">IFERROR(SUMIFS(INDIRECT(Hours[[#This Row],[table]]&amp;"[real time]"),INDIRECT(Hours[[#This Row],[table]]&amp;"[employee]"),C94,INDIRECT(Hours[[#This Row],[table]]&amp;"[date]"),F94,INDIRECT(Hours[[#This Row],[table]]&amp;"[code]"),"e"),"")</f>
        <v>0</v>
      </c>
    </row>
    <row r="95" spans="1:14" x14ac:dyDescent="0.25">
      <c r="A95" s="28" t="s">
        <v>70</v>
      </c>
      <c r="B95" s="28" t="s">
        <v>71</v>
      </c>
      <c r="C95" s="1" t="s">
        <v>72</v>
      </c>
      <c r="D95" s="32" t="str">
        <f>IF(NOT(ISBLANK(Hours[[#This Row],[employee]])),IF(ISNUMBER(Hours[[#This Row],[employee]]),"REG","CON"),"")</f>
        <v>CON</v>
      </c>
      <c r="E95" s="32" t="str">
        <f>IF(Hours[[#This Row],[cat]]="CON","Contractors",IF(Hours[[#This Row],[cat]]="REG","Employees",""))</f>
        <v>Contractors</v>
      </c>
      <c r="F95" s="34">
        <v>44163</v>
      </c>
      <c r="G95" s="35">
        <v>0.24513888888888888</v>
      </c>
      <c r="H95" s="35">
        <v>0.66875000000000007</v>
      </c>
      <c r="I95" s="29">
        <f>IF(H95&lt;G95,24+H95-G95,H95-G95)</f>
        <v>0.42361111111111116</v>
      </c>
      <c r="J95" s="36">
        <v>0.39583333333333331</v>
      </c>
      <c r="K95" s="36">
        <f ca="1">IFERROR(SUMIFS(INDIRECT(Hours[[#This Row],[table]]&amp;"[real time]"),INDIRECT(Hours[[#This Row],[table]]&amp;"[employee]"),C95,INDIRECT(Hours[[#This Row],[table]]&amp;"[date]"),F95),"")</f>
        <v>0</v>
      </c>
      <c r="L95" s="36">
        <f ca="1">IFERROR(SUM(SUMIFS(INDIRECT(Hours[[#This Row],[table]]&amp;"[real time]"),INDIRECT(Hours[[#This Row],[table]]&amp;"[employee]"),C95,INDIRECT(Hours[[#This Row],[table]]&amp;"[date]"),F95,INDIRECT(Hours[[#This Row],[table]]&amp;"[code]"),{"a","x",""})),"")</f>
        <v>0</v>
      </c>
      <c r="M95" s="36">
        <f ca="1">IFERROR(SUMIFS(INDIRECT(Hours[[#This Row],[table]]&amp;"[real time]"),INDIRECT(Hours[[#This Row],[table]]&amp;"[employee]"),C95,INDIRECT(Hours[[#This Row],[table]]&amp;"[date]"),F95,INDIRECT(Hours[[#This Row],[table]]&amp;"[code]"),"m"),"")</f>
        <v>0</v>
      </c>
      <c r="N95" s="36">
        <f ca="1">IFERROR(SUMIFS(INDIRECT(Hours[[#This Row],[table]]&amp;"[real time]"),INDIRECT(Hours[[#This Row],[table]]&amp;"[employee]"),C95,INDIRECT(Hours[[#This Row],[table]]&amp;"[date]"),F95,INDIRECT(Hours[[#This Row],[table]]&amp;"[code]"),"e"),"")</f>
        <v>0</v>
      </c>
    </row>
    <row r="96" spans="1:14" x14ac:dyDescent="0.25">
      <c r="A96" s="28" t="s">
        <v>70</v>
      </c>
      <c r="B96" s="28" t="s">
        <v>71</v>
      </c>
      <c r="C96" s="1" t="s">
        <v>72</v>
      </c>
      <c r="D96" s="32" t="str">
        <f>IF(NOT(ISBLANK(Hours[[#This Row],[employee]])),IF(ISNUMBER(Hours[[#This Row],[employee]]),"REG","CON"),"")</f>
        <v>CON</v>
      </c>
      <c r="E96" s="32" t="str">
        <f>IF(Hours[[#This Row],[cat]]="CON","Contractors",IF(Hours[[#This Row],[cat]]="REG","Employees",""))</f>
        <v>Contractors</v>
      </c>
      <c r="F96" s="34">
        <v>44164</v>
      </c>
      <c r="G96" s="35">
        <v>0.24930555555555556</v>
      </c>
      <c r="H96" s="35">
        <v>0.54166666666666663</v>
      </c>
      <c r="I96" s="29">
        <f>IF(H96&lt;G96,24+H96-G96,H96-G96)</f>
        <v>0.29236111111111107</v>
      </c>
      <c r="J96" s="36">
        <v>0.29166666666666669</v>
      </c>
      <c r="K96" s="36">
        <f ca="1">IFERROR(SUMIFS(INDIRECT(Hours[[#This Row],[table]]&amp;"[real time]"),INDIRECT(Hours[[#This Row],[table]]&amp;"[employee]"),C96,INDIRECT(Hours[[#This Row],[table]]&amp;"[date]"),F96),"")</f>
        <v>0</v>
      </c>
      <c r="L96" s="36">
        <f ca="1">IFERROR(SUM(SUMIFS(INDIRECT(Hours[[#This Row],[table]]&amp;"[real time]"),INDIRECT(Hours[[#This Row],[table]]&amp;"[employee]"),C96,INDIRECT(Hours[[#This Row],[table]]&amp;"[date]"),F96,INDIRECT(Hours[[#This Row],[table]]&amp;"[code]"),{"a","x",""})),"")</f>
        <v>0</v>
      </c>
      <c r="M96" s="36">
        <f ca="1">IFERROR(SUMIFS(INDIRECT(Hours[[#This Row],[table]]&amp;"[real time]"),INDIRECT(Hours[[#This Row],[table]]&amp;"[employee]"),C96,INDIRECT(Hours[[#This Row],[table]]&amp;"[date]"),F96,INDIRECT(Hours[[#This Row],[table]]&amp;"[code]"),"m"),"")</f>
        <v>0</v>
      </c>
      <c r="N96" s="36">
        <f ca="1">IFERROR(SUMIFS(INDIRECT(Hours[[#This Row],[table]]&amp;"[real time]"),INDIRECT(Hours[[#This Row],[table]]&amp;"[employee]"),C96,INDIRECT(Hours[[#This Row],[table]]&amp;"[date]"),F96,INDIRECT(Hours[[#This Row],[table]]&amp;"[code]"),"e"),"")</f>
        <v>0</v>
      </c>
    </row>
    <row r="97" spans="1:14" x14ac:dyDescent="0.25">
      <c r="A97" s="28" t="s">
        <v>70</v>
      </c>
      <c r="B97" s="28" t="s">
        <v>71</v>
      </c>
      <c r="C97" s="1" t="s">
        <v>72</v>
      </c>
      <c r="D97" s="32" t="str">
        <f>IF(NOT(ISBLANK(Hours[[#This Row],[employee]])),IF(ISNUMBER(Hours[[#This Row],[employee]]),"REG","CON"),"")</f>
        <v>CON</v>
      </c>
      <c r="E97" s="32" t="str">
        <f>IF(Hours[[#This Row],[cat]]="CON","Contractors",IF(Hours[[#This Row],[cat]]="REG","Employees",""))</f>
        <v>Contractors</v>
      </c>
      <c r="F97" s="34">
        <v>44165</v>
      </c>
      <c r="G97" s="35">
        <v>0.20833333333333334</v>
      </c>
      <c r="H97" s="35">
        <v>0.68819444444444444</v>
      </c>
      <c r="I97" s="29">
        <f>IF(H97&lt;G97,24+H97-G97,H97-G97)</f>
        <v>0.47986111111111107</v>
      </c>
      <c r="J97" s="36">
        <v>0.45833333333333331</v>
      </c>
      <c r="K97" s="36">
        <f ca="1">IFERROR(SUMIFS(INDIRECT(Hours[[#This Row],[table]]&amp;"[real time]"),INDIRECT(Hours[[#This Row],[table]]&amp;"[employee]"),C97,INDIRECT(Hours[[#This Row],[table]]&amp;"[date]"),F97),"")</f>
        <v>0</v>
      </c>
      <c r="L97" s="36">
        <f ca="1">IFERROR(SUM(SUMIFS(INDIRECT(Hours[[#This Row],[table]]&amp;"[real time]"),INDIRECT(Hours[[#This Row],[table]]&amp;"[employee]"),C97,INDIRECT(Hours[[#This Row],[table]]&amp;"[date]"),F97,INDIRECT(Hours[[#This Row],[table]]&amp;"[code]"),{"a","x",""})),"")</f>
        <v>0</v>
      </c>
      <c r="M97" s="36">
        <f ca="1">IFERROR(SUMIFS(INDIRECT(Hours[[#This Row],[table]]&amp;"[real time]"),INDIRECT(Hours[[#This Row],[table]]&amp;"[employee]"),C97,INDIRECT(Hours[[#This Row],[table]]&amp;"[date]"),F97,INDIRECT(Hours[[#This Row],[table]]&amp;"[code]"),"m"),"")</f>
        <v>0</v>
      </c>
      <c r="N97" s="36">
        <f ca="1">IFERROR(SUMIFS(INDIRECT(Hours[[#This Row],[table]]&amp;"[real time]"),INDIRECT(Hours[[#This Row],[table]]&amp;"[employee]"),C97,INDIRECT(Hours[[#This Row],[table]]&amp;"[date]"),F97,INDIRECT(Hours[[#This Row],[table]]&amp;"[code]"),"e"),"")</f>
        <v>0</v>
      </c>
    </row>
    <row r="98" spans="1:14" x14ac:dyDescent="0.25">
      <c r="A98" s="28" t="s">
        <v>70</v>
      </c>
      <c r="B98" s="28" t="s">
        <v>71</v>
      </c>
      <c r="C98" s="1" t="s">
        <v>72</v>
      </c>
      <c r="D98" s="32" t="str">
        <f>IF(NOT(ISBLANK(Hours[[#This Row],[employee]])),IF(ISNUMBER(Hours[[#This Row],[employee]]),"REG","CON"),"")</f>
        <v>CON</v>
      </c>
      <c r="E98" s="32" t="str">
        <f>IF(Hours[[#This Row],[cat]]="CON","Contractors",IF(Hours[[#This Row],[cat]]="REG","Employees",""))</f>
        <v>Contractors</v>
      </c>
      <c r="F98" s="34">
        <v>44166</v>
      </c>
      <c r="G98" s="35">
        <v>0.20625000000000002</v>
      </c>
      <c r="H98" s="35">
        <v>0.66805555555555562</v>
      </c>
      <c r="I98" s="29">
        <f>IF(H98&lt;G98,24+H98-G98,H98-G98)</f>
        <v>0.46180555555555558</v>
      </c>
      <c r="J98" s="36">
        <v>0.4375</v>
      </c>
      <c r="K98" s="36">
        <f ca="1">IFERROR(SUMIFS(INDIRECT(Hours[[#This Row],[table]]&amp;"[real time]"),INDIRECT(Hours[[#This Row],[table]]&amp;"[employee]"),C98,INDIRECT(Hours[[#This Row],[table]]&amp;"[date]"),F98),"")</f>
        <v>0</v>
      </c>
      <c r="L98" s="36">
        <f ca="1">IFERROR(SUM(SUMIFS(INDIRECT(Hours[[#This Row],[table]]&amp;"[real time]"),INDIRECT(Hours[[#This Row],[table]]&amp;"[employee]"),C98,INDIRECT(Hours[[#This Row],[table]]&amp;"[date]"),F98,INDIRECT(Hours[[#This Row],[table]]&amp;"[code]"),{"a","x",""})),"")</f>
        <v>0</v>
      </c>
      <c r="M98" s="36">
        <f ca="1">IFERROR(SUMIFS(INDIRECT(Hours[[#This Row],[table]]&amp;"[real time]"),INDIRECT(Hours[[#This Row],[table]]&amp;"[employee]"),C98,INDIRECT(Hours[[#This Row],[table]]&amp;"[date]"),F98,INDIRECT(Hours[[#This Row],[table]]&amp;"[code]"),"m"),"")</f>
        <v>0</v>
      </c>
      <c r="N98" s="36">
        <f ca="1">IFERROR(SUMIFS(INDIRECT(Hours[[#This Row],[table]]&amp;"[real time]"),INDIRECT(Hours[[#This Row],[table]]&amp;"[employee]"),C98,INDIRECT(Hours[[#This Row],[table]]&amp;"[date]"),F98,INDIRECT(Hours[[#This Row],[table]]&amp;"[code]"),"e"),"")</f>
        <v>0</v>
      </c>
    </row>
    <row r="99" spans="1:14" x14ac:dyDescent="0.25">
      <c r="A99" s="28" t="s">
        <v>70</v>
      </c>
      <c r="B99" s="28" t="s">
        <v>71</v>
      </c>
      <c r="C99" s="1" t="s">
        <v>72</v>
      </c>
      <c r="D99" s="32" t="str">
        <f>IF(NOT(ISBLANK(Hours[[#This Row],[employee]])),IF(ISNUMBER(Hours[[#This Row],[employee]]),"REG","CON"),"")</f>
        <v>CON</v>
      </c>
      <c r="E99" s="32" t="str">
        <f>IF(Hours[[#This Row],[cat]]="CON","Contractors",IF(Hours[[#This Row],[cat]]="REG","Employees",""))</f>
        <v>Contractors</v>
      </c>
      <c r="F99" s="34">
        <v>44167</v>
      </c>
      <c r="G99" s="35">
        <v>0.20555555555555557</v>
      </c>
      <c r="H99" s="35">
        <v>0.70833333333333337</v>
      </c>
      <c r="I99" s="29">
        <f>IF(H99&lt;G99,24+H99-G99,H99-G99)</f>
        <v>0.50277777777777777</v>
      </c>
      <c r="J99" s="36">
        <v>0.47916666666666669</v>
      </c>
      <c r="K99" s="36">
        <f ca="1">IFERROR(SUMIFS(INDIRECT(Hours[[#This Row],[table]]&amp;"[real time]"),INDIRECT(Hours[[#This Row],[table]]&amp;"[employee]"),C99,INDIRECT(Hours[[#This Row],[table]]&amp;"[date]"),F99),"")</f>
        <v>0</v>
      </c>
      <c r="L99" s="36">
        <f ca="1">IFERROR(SUM(SUMIFS(INDIRECT(Hours[[#This Row],[table]]&amp;"[real time]"),INDIRECT(Hours[[#This Row],[table]]&amp;"[employee]"),C99,INDIRECT(Hours[[#This Row],[table]]&amp;"[date]"),F99,INDIRECT(Hours[[#This Row],[table]]&amp;"[code]"),{"a","x",""})),"")</f>
        <v>0</v>
      </c>
      <c r="M99" s="36">
        <f ca="1">IFERROR(SUMIFS(INDIRECT(Hours[[#This Row],[table]]&amp;"[real time]"),INDIRECT(Hours[[#This Row],[table]]&amp;"[employee]"),C99,INDIRECT(Hours[[#This Row],[table]]&amp;"[date]"),F99,INDIRECT(Hours[[#This Row],[table]]&amp;"[code]"),"m"),"")</f>
        <v>0</v>
      </c>
      <c r="N99" s="36">
        <f ca="1">IFERROR(SUMIFS(INDIRECT(Hours[[#This Row],[table]]&amp;"[real time]"),INDIRECT(Hours[[#This Row],[table]]&amp;"[employee]"),C99,INDIRECT(Hours[[#This Row],[table]]&amp;"[date]"),F99,INDIRECT(Hours[[#This Row],[table]]&amp;"[code]"),"e"),"")</f>
        <v>0</v>
      </c>
    </row>
    <row r="100" spans="1:14" x14ac:dyDescent="0.25">
      <c r="A100" s="28" t="s">
        <v>70</v>
      </c>
      <c r="B100" s="28" t="s">
        <v>71</v>
      </c>
      <c r="C100" s="1" t="s">
        <v>72</v>
      </c>
      <c r="D100" s="32" t="str">
        <f>IF(NOT(ISBLANK(Hours[[#This Row],[employee]])),IF(ISNUMBER(Hours[[#This Row],[employee]]),"REG","CON"),"")</f>
        <v>CON</v>
      </c>
      <c r="E100" s="32" t="str">
        <f>IF(Hours[[#This Row],[cat]]="CON","Contractors",IF(Hours[[#This Row],[cat]]="REG","Employees",""))</f>
        <v>Contractors</v>
      </c>
      <c r="F100" s="34">
        <v>44168</v>
      </c>
      <c r="G100" s="35">
        <v>0.21180555555555555</v>
      </c>
      <c r="H100" s="35">
        <v>0.66666666666666663</v>
      </c>
      <c r="I100" s="29">
        <f>IF(H100&lt;G100,24+H100-G100,H100-G100)</f>
        <v>0.45486111111111105</v>
      </c>
      <c r="J100" s="36">
        <v>0.39583333333333331</v>
      </c>
      <c r="K100" s="36">
        <f ca="1">IFERROR(SUMIFS(INDIRECT(Hours[[#This Row],[table]]&amp;"[real time]"),INDIRECT(Hours[[#This Row],[table]]&amp;"[employee]"),C100,INDIRECT(Hours[[#This Row],[table]]&amp;"[date]"),F100),"")</f>
        <v>0</v>
      </c>
      <c r="L100" s="36">
        <f ca="1">IFERROR(SUM(SUMIFS(INDIRECT(Hours[[#This Row],[table]]&amp;"[real time]"),INDIRECT(Hours[[#This Row],[table]]&amp;"[employee]"),C100,INDIRECT(Hours[[#This Row],[table]]&amp;"[date]"),F100,INDIRECT(Hours[[#This Row],[table]]&amp;"[code]"),{"a","x",""})),"")</f>
        <v>0</v>
      </c>
      <c r="M100" s="36">
        <f ca="1">IFERROR(SUMIFS(INDIRECT(Hours[[#This Row],[table]]&amp;"[real time]"),INDIRECT(Hours[[#This Row],[table]]&amp;"[employee]"),C100,INDIRECT(Hours[[#This Row],[table]]&amp;"[date]"),F100,INDIRECT(Hours[[#This Row],[table]]&amp;"[code]"),"m"),"")</f>
        <v>0</v>
      </c>
      <c r="N100" s="36">
        <f ca="1">IFERROR(SUMIFS(INDIRECT(Hours[[#This Row],[table]]&amp;"[real time]"),INDIRECT(Hours[[#This Row],[table]]&amp;"[employee]"),C100,INDIRECT(Hours[[#This Row],[table]]&amp;"[date]"),F100,INDIRECT(Hours[[#This Row],[table]]&amp;"[code]"),"e"),"")</f>
        <v>0</v>
      </c>
    </row>
    <row r="101" spans="1:14" x14ac:dyDescent="0.25">
      <c r="A101" s="28" t="s">
        <v>70</v>
      </c>
      <c r="B101" s="28" t="s">
        <v>71</v>
      </c>
      <c r="C101" s="1" t="s">
        <v>72</v>
      </c>
      <c r="D101" s="32" t="str">
        <f>IF(NOT(ISBLANK(Hours[[#This Row],[employee]])),IF(ISNUMBER(Hours[[#This Row],[employee]]),"REG","CON"),"")</f>
        <v>CON</v>
      </c>
      <c r="E101" s="32" t="str">
        <f>IF(Hours[[#This Row],[cat]]="CON","Contractors",IF(Hours[[#This Row],[cat]]="REG","Employees",""))</f>
        <v>Contractors</v>
      </c>
      <c r="F101" s="34">
        <v>44169</v>
      </c>
      <c r="G101" s="35">
        <v>0.24513888888888888</v>
      </c>
      <c r="H101" s="35">
        <v>0.89583333333333337</v>
      </c>
      <c r="I101" s="29">
        <f>IF(H101&lt;G101,24+H101-G101,H101-G101)</f>
        <v>0.65069444444444446</v>
      </c>
      <c r="J101" s="36">
        <v>0.625</v>
      </c>
      <c r="K101" s="36">
        <f ca="1">IFERROR(SUMIFS(INDIRECT(Hours[[#This Row],[table]]&amp;"[real time]"),INDIRECT(Hours[[#This Row],[table]]&amp;"[employee]"),C101,INDIRECT(Hours[[#This Row],[table]]&amp;"[date]"),F101),"")</f>
        <v>0</v>
      </c>
      <c r="L101" s="36">
        <f ca="1">IFERROR(SUM(SUMIFS(INDIRECT(Hours[[#This Row],[table]]&amp;"[real time]"),INDIRECT(Hours[[#This Row],[table]]&amp;"[employee]"),C101,INDIRECT(Hours[[#This Row],[table]]&amp;"[date]"),F101,INDIRECT(Hours[[#This Row],[table]]&amp;"[code]"),{"a","x",""})),"")</f>
        <v>0</v>
      </c>
      <c r="M101" s="36">
        <f ca="1">IFERROR(SUMIFS(INDIRECT(Hours[[#This Row],[table]]&amp;"[real time]"),INDIRECT(Hours[[#This Row],[table]]&amp;"[employee]"),C101,INDIRECT(Hours[[#This Row],[table]]&amp;"[date]"),F101,INDIRECT(Hours[[#This Row],[table]]&amp;"[code]"),"m"),"")</f>
        <v>0</v>
      </c>
      <c r="N101" s="36">
        <f ca="1">IFERROR(SUMIFS(INDIRECT(Hours[[#This Row],[table]]&amp;"[real time]"),INDIRECT(Hours[[#This Row],[table]]&amp;"[employee]"),C101,INDIRECT(Hours[[#This Row],[table]]&amp;"[date]"),F101,INDIRECT(Hours[[#This Row],[table]]&amp;"[code]"),"e"),"")</f>
        <v>0</v>
      </c>
    </row>
    <row r="102" spans="1:14" x14ac:dyDescent="0.25">
      <c r="A102" s="28" t="s">
        <v>73</v>
      </c>
      <c r="B102" s="28" t="s">
        <v>74</v>
      </c>
      <c r="C102" s="1" t="s">
        <v>75</v>
      </c>
      <c r="D102" s="32" t="str">
        <f>IF(NOT(ISBLANK(Hours[[#This Row],[employee]])),IF(ISNUMBER(Hours[[#This Row],[employee]]),"REG","CON"),"")</f>
        <v>CON</v>
      </c>
      <c r="E102" s="32" t="str">
        <f>IF(Hours[[#This Row],[cat]]="CON","Contractors",IF(Hours[[#This Row],[cat]]="REG","Employees",""))</f>
        <v>Contractors</v>
      </c>
      <c r="F102" s="34">
        <v>44161</v>
      </c>
      <c r="G102" s="35">
        <v>0.2638888888888889</v>
      </c>
      <c r="H102" s="35">
        <v>0.66805555555555562</v>
      </c>
      <c r="I102" s="29">
        <f>IF(H102&lt;G102,24+H102-G102,H102-G102)</f>
        <v>0.40416666666666673</v>
      </c>
      <c r="J102" s="36">
        <v>0.375</v>
      </c>
      <c r="K102" s="36">
        <f ca="1">IFERROR(SUMIFS(INDIRECT(Hours[[#This Row],[table]]&amp;"[real time]"),INDIRECT(Hours[[#This Row],[table]]&amp;"[employee]"),C102,INDIRECT(Hours[[#This Row],[table]]&amp;"[date]"),F102),"")</f>
        <v>0</v>
      </c>
      <c r="L102" s="36">
        <f ca="1">IFERROR(SUM(SUMIFS(INDIRECT(Hours[[#This Row],[table]]&amp;"[real time]"),INDIRECT(Hours[[#This Row],[table]]&amp;"[employee]"),C102,INDIRECT(Hours[[#This Row],[table]]&amp;"[date]"),F102,INDIRECT(Hours[[#This Row],[table]]&amp;"[code]"),{"a","x",""})),"")</f>
        <v>0</v>
      </c>
      <c r="M102" s="36">
        <f ca="1">IFERROR(SUMIFS(INDIRECT(Hours[[#This Row],[table]]&amp;"[real time]"),INDIRECT(Hours[[#This Row],[table]]&amp;"[employee]"),C102,INDIRECT(Hours[[#This Row],[table]]&amp;"[date]"),F102,INDIRECT(Hours[[#This Row],[table]]&amp;"[code]"),"m"),"")</f>
        <v>0</v>
      </c>
      <c r="N102" s="36">
        <f ca="1">IFERROR(SUMIFS(INDIRECT(Hours[[#This Row],[table]]&amp;"[real time]"),INDIRECT(Hours[[#This Row],[table]]&amp;"[employee]"),C102,INDIRECT(Hours[[#This Row],[table]]&amp;"[date]"),F102,INDIRECT(Hours[[#This Row],[table]]&amp;"[code]"),"e"),"")</f>
        <v>0</v>
      </c>
    </row>
    <row r="103" spans="1:14" x14ac:dyDescent="0.25">
      <c r="A103" s="28" t="s">
        <v>73</v>
      </c>
      <c r="B103" s="28" t="s">
        <v>74</v>
      </c>
      <c r="C103" s="1" t="s">
        <v>75</v>
      </c>
      <c r="D103" s="32" t="str">
        <f>IF(NOT(ISBLANK(Hours[[#This Row],[employee]])),IF(ISNUMBER(Hours[[#This Row],[employee]]),"REG","CON"),"")</f>
        <v>CON</v>
      </c>
      <c r="E103" s="32" t="str">
        <f>IF(Hours[[#This Row],[cat]]="CON","Contractors",IF(Hours[[#This Row],[cat]]="REG","Employees",""))</f>
        <v>Contractors</v>
      </c>
      <c r="F103" s="34">
        <v>44162</v>
      </c>
      <c r="G103" s="35">
        <v>0.26458333333333334</v>
      </c>
      <c r="H103" s="35">
        <v>0.67013888888888884</v>
      </c>
      <c r="I103" s="29">
        <f>IF(H103&lt;G103,24+H103-G103,H103-G103)</f>
        <v>0.4055555555555555</v>
      </c>
      <c r="J103" s="36">
        <v>0.375</v>
      </c>
      <c r="K103" s="36">
        <f ca="1">IFERROR(SUMIFS(INDIRECT(Hours[[#This Row],[table]]&amp;"[real time]"),INDIRECT(Hours[[#This Row],[table]]&amp;"[employee]"),C103,INDIRECT(Hours[[#This Row],[table]]&amp;"[date]"),F103),"")</f>
        <v>0</v>
      </c>
      <c r="L103" s="36">
        <f ca="1">IFERROR(SUM(SUMIFS(INDIRECT(Hours[[#This Row],[table]]&amp;"[real time]"),INDIRECT(Hours[[#This Row],[table]]&amp;"[employee]"),C103,INDIRECT(Hours[[#This Row],[table]]&amp;"[date]"),F103,INDIRECT(Hours[[#This Row],[table]]&amp;"[code]"),{"a","x",""})),"")</f>
        <v>0</v>
      </c>
      <c r="M103" s="36">
        <f ca="1">IFERROR(SUMIFS(INDIRECT(Hours[[#This Row],[table]]&amp;"[real time]"),INDIRECT(Hours[[#This Row],[table]]&amp;"[employee]"),C103,INDIRECT(Hours[[#This Row],[table]]&amp;"[date]"),F103,INDIRECT(Hours[[#This Row],[table]]&amp;"[code]"),"m"),"")</f>
        <v>0</v>
      </c>
      <c r="N103" s="36">
        <f ca="1">IFERROR(SUMIFS(INDIRECT(Hours[[#This Row],[table]]&amp;"[real time]"),INDIRECT(Hours[[#This Row],[table]]&amp;"[employee]"),C103,INDIRECT(Hours[[#This Row],[table]]&amp;"[date]"),F103,INDIRECT(Hours[[#This Row],[table]]&amp;"[code]"),"e"),"")</f>
        <v>0</v>
      </c>
    </row>
    <row r="104" spans="1:14" x14ac:dyDescent="0.25">
      <c r="A104" s="28" t="s">
        <v>73</v>
      </c>
      <c r="B104" s="28" t="s">
        <v>74</v>
      </c>
      <c r="C104" s="1" t="s">
        <v>75</v>
      </c>
      <c r="D104" s="32" t="str">
        <f>IF(NOT(ISBLANK(Hours[[#This Row],[employee]])),IF(ISNUMBER(Hours[[#This Row],[employee]]),"REG","CON"),"")</f>
        <v>CON</v>
      </c>
      <c r="E104" s="32" t="str">
        <f>IF(Hours[[#This Row],[cat]]="CON","Contractors",IF(Hours[[#This Row],[cat]]="REG","Employees",""))</f>
        <v>Contractors</v>
      </c>
      <c r="F104" s="34">
        <v>44163</v>
      </c>
      <c r="G104" s="35">
        <v>0.26180555555555557</v>
      </c>
      <c r="H104" s="35">
        <v>0.61111111111111105</v>
      </c>
      <c r="I104" s="29">
        <f>IF(H104&lt;G104,24+H104-G104,H104-G104)</f>
        <v>0.34930555555555548</v>
      </c>
      <c r="J104" s="36">
        <v>0.32291666666666669</v>
      </c>
      <c r="K104" s="36">
        <f ca="1">IFERROR(SUMIFS(INDIRECT(Hours[[#This Row],[table]]&amp;"[real time]"),INDIRECT(Hours[[#This Row],[table]]&amp;"[employee]"),C104,INDIRECT(Hours[[#This Row],[table]]&amp;"[date]"),F104),"")</f>
        <v>0</v>
      </c>
      <c r="L104" s="36">
        <f ca="1">IFERROR(SUM(SUMIFS(INDIRECT(Hours[[#This Row],[table]]&amp;"[real time]"),INDIRECT(Hours[[#This Row],[table]]&amp;"[employee]"),C104,INDIRECT(Hours[[#This Row],[table]]&amp;"[date]"),F104,INDIRECT(Hours[[#This Row],[table]]&amp;"[code]"),{"a","x",""})),"")</f>
        <v>0</v>
      </c>
      <c r="M104" s="36">
        <f ca="1">IFERROR(SUMIFS(INDIRECT(Hours[[#This Row],[table]]&amp;"[real time]"),INDIRECT(Hours[[#This Row],[table]]&amp;"[employee]"),C104,INDIRECT(Hours[[#This Row],[table]]&amp;"[date]"),F104,INDIRECT(Hours[[#This Row],[table]]&amp;"[code]"),"m"),"")</f>
        <v>0</v>
      </c>
      <c r="N104" s="36">
        <f ca="1">IFERROR(SUMIFS(INDIRECT(Hours[[#This Row],[table]]&amp;"[real time]"),INDIRECT(Hours[[#This Row],[table]]&amp;"[employee]"),C104,INDIRECT(Hours[[#This Row],[table]]&amp;"[date]"),F104,INDIRECT(Hours[[#This Row],[table]]&amp;"[code]"),"e"),"")</f>
        <v>0</v>
      </c>
    </row>
    <row r="105" spans="1:14" x14ac:dyDescent="0.25">
      <c r="A105" s="28" t="s">
        <v>73</v>
      </c>
      <c r="B105" s="28" t="s">
        <v>74</v>
      </c>
      <c r="C105" s="1" t="s">
        <v>75</v>
      </c>
      <c r="D105" s="32" t="str">
        <f>IF(NOT(ISBLANK(Hours[[#This Row],[employee]])),IF(ISNUMBER(Hours[[#This Row],[employee]]),"REG","CON"),"")</f>
        <v>CON</v>
      </c>
      <c r="E105" s="32" t="str">
        <f>IF(Hours[[#This Row],[cat]]="CON","Contractors",IF(Hours[[#This Row],[cat]]="REG","Employees",""))</f>
        <v>Contractors</v>
      </c>
      <c r="F105" s="34">
        <v>44165</v>
      </c>
      <c r="G105" s="35">
        <v>0.26250000000000001</v>
      </c>
      <c r="H105" s="35">
        <v>0.66736111111111107</v>
      </c>
      <c r="I105" s="29">
        <f>IF(H105&lt;G105,24+H105-G105,H105-G105)</f>
        <v>0.40486111111111106</v>
      </c>
      <c r="J105" s="36">
        <v>0.375</v>
      </c>
      <c r="K105" s="36">
        <f ca="1">IFERROR(SUMIFS(INDIRECT(Hours[[#This Row],[table]]&amp;"[real time]"),INDIRECT(Hours[[#This Row],[table]]&amp;"[employee]"),C105,INDIRECT(Hours[[#This Row],[table]]&amp;"[date]"),F105),"")</f>
        <v>0</v>
      </c>
      <c r="L105" s="36">
        <f ca="1">IFERROR(SUM(SUMIFS(INDIRECT(Hours[[#This Row],[table]]&amp;"[real time]"),INDIRECT(Hours[[#This Row],[table]]&amp;"[employee]"),C105,INDIRECT(Hours[[#This Row],[table]]&amp;"[date]"),F105,INDIRECT(Hours[[#This Row],[table]]&amp;"[code]"),{"a","x",""})),"")</f>
        <v>0</v>
      </c>
      <c r="M105" s="36">
        <f ca="1">IFERROR(SUMIFS(INDIRECT(Hours[[#This Row],[table]]&amp;"[real time]"),INDIRECT(Hours[[#This Row],[table]]&amp;"[employee]"),C105,INDIRECT(Hours[[#This Row],[table]]&amp;"[date]"),F105,INDIRECT(Hours[[#This Row],[table]]&amp;"[code]"),"m"),"")</f>
        <v>0</v>
      </c>
      <c r="N105" s="36">
        <f ca="1">IFERROR(SUMIFS(INDIRECT(Hours[[#This Row],[table]]&amp;"[real time]"),INDIRECT(Hours[[#This Row],[table]]&amp;"[employee]"),C105,INDIRECT(Hours[[#This Row],[table]]&amp;"[date]"),F105,INDIRECT(Hours[[#This Row],[table]]&amp;"[code]"),"e"),"")</f>
        <v>0</v>
      </c>
    </row>
    <row r="106" spans="1:14" x14ac:dyDescent="0.25">
      <c r="A106" s="28" t="s">
        <v>73</v>
      </c>
      <c r="B106" s="28" t="s">
        <v>74</v>
      </c>
      <c r="C106" s="1" t="s">
        <v>75</v>
      </c>
      <c r="D106" s="32" t="str">
        <f>IF(NOT(ISBLANK(Hours[[#This Row],[employee]])),IF(ISNUMBER(Hours[[#This Row],[employee]]),"REG","CON"),"")</f>
        <v>CON</v>
      </c>
      <c r="E106" s="32" t="str">
        <f>IF(Hours[[#This Row],[cat]]="CON","Contractors",IF(Hours[[#This Row],[cat]]="REG","Employees",""))</f>
        <v>Contractors</v>
      </c>
      <c r="F106" s="34">
        <v>44166</v>
      </c>
      <c r="G106" s="35">
        <v>0.2673611111111111</v>
      </c>
      <c r="H106" s="35">
        <v>0.66666666666666663</v>
      </c>
      <c r="I106" s="29">
        <f>IF(H106&lt;G106,24+H106-G106,H106-G106)</f>
        <v>0.39930555555555552</v>
      </c>
      <c r="J106" s="36">
        <v>0.375</v>
      </c>
      <c r="K106" s="36">
        <f ca="1">IFERROR(SUMIFS(INDIRECT(Hours[[#This Row],[table]]&amp;"[real time]"),INDIRECT(Hours[[#This Row],[table]]&amp;"[employee]"),C106,INDIRECT(Hours[[#This Row],[table]]&amp;"[date]"),F106),"")</f>
        <v>0</v>
      </c>
      <c r="L106" s="36">
        <f ca="1">IFERROR(SUM(SUMIFS(INDIRECT(Hours[[#This Row],[table]]&amp;"[real time]"),INDIRECT(Hours[[#This Row],[table]]&amp;"[employee]"),C106,INDIRECT(Hours[[#This Row],[table]]&amp;"[date]"),F106,INDIRECT(Hours[[#This Row],[table]]&amp;"[code]"),{"a","x",""})),"")</f>
        <v>0</v>
      </c>
      <c r="M106" s="36">
        <f ca="1">IFERROR(SUMIFS(INDIRECT(Hours[[#This Row],[table]]&amp;"[real time]"),INDIRECT(Hours[[#This Row],[table]]&amp;"[employee]"),C106,INDIRECT(Hours[[#This Row],[table]]&amp;"[date]"),F106,INDIRECT(Hours[[#This Row],[table]]&amp;"[code]"),"m"),"")</f>
        <v>0</v>
      </c>
      <c r="N106" s="36">
        <f ca="1">IFERROR(SUMIFS(INDIRECT(Hours[[#This Row],[table]]&amp;"[real time]"),INDIRECT(Hours[[#This Row],[table]]&amp;"[employee]"),C106,INDIRECT(Hours[[#This Row],[table]]&amp;"[date]"),F106,INDIRECT(Hours[[#This Row],[table]]&amp;"[code]"),"e"),"")</f>
        <v>0</v>
      </c>
    </row>
    <row r="107" spans="1:14" x14ac:dyDescent="0.25">
      <c r="A107" s="28" t="s">
        <v>73</v>
      </c>
      <c r="B107" s="28" t="s">
        <v>74</v>
      </c>
      <c r="C107" s="1" t="s">
        <v>75</v>
      </c>
      <c r="D107" s="32" t="str">
        <f>IF(NOT(ISBLANK(Hours[[#This Row],[employee]])),IF(ISNUMBER(Hours[[#This Row],[employee]]),"REG","CON"),"")</f>
        <v>CON</v>
      </c>
      <c r="E107" s="32" t="str">
        <f>IF(Hours[[#This Row],[cat]]="CON","Contractors",IF(Hours[[#This Row],[cat]]="REG","Employees",""))</f>
        <v>Contractors</v>
      </c>
      <c r="F107" s="34">
        <v>44167</v>
      </c>
      <c r="G107" s="35">
        <v>0.26666666666666666</v>
      </c>
      <c r="H107" s="35">
        <v>0.66736111111111107</v>
      </c>
      <c r="I107" s="29">
        <f>IF(H107&lt;G107,24+H107-G107,H107-G107)</f>
        <v>0.40069444444444441</v>
      </c>
      <c r="J107" s="36">
        <v>0.375</v>
      </c>
      <c r="K107" s="36">
        <f ca="1">IFERROR(SUMIFS(INDIRECT(Hours[[#This Row],[table]]&amp;"[real time]"),INDIRECT(Hours[[#This Row],[table]]&amp;"[employee]"),C107,INDIRECT(Hours[[#This Row],[table]]&amp;"[date]"),F107),"")</f>
        <v>0</v>
      </c>
      <c r="L107" s="36">
        <f ca="1">IFERROR(SUM(SUMIFS(INDIRECT(Hours[[#This Row],[table]]&amp;"[real time]"),INDIRECT(Hours[[#This Row],[table]]&amp;"[employee]"),C107,INDIRECT(Hours[[#This Row],[table]]&amp;"[date]"),F107,INDIRECT(Hours[[#This Row],[table]]&amp;"[code]"),{"a","x",""})),"")</f>
        <v>0</v>
      </c>
      <c r="M107" s="36">
        <f ca="1">IFERROR(SUMIFS(INDIRECT(Hours[[#This Row],[table]]&amp;"[real time]"),INDIRECT(Hours[[#This Row],[table]]&amp;"[employee]"),C107,INDIRECT(Hours[[#This Row],[table]]&amp;"[date]"),F107,INDIRECT(Hours[[#This Row],[table]]&amp;"[code]"),"m"),"")</f>
        <v>0</v>
      </c>
      <c r="N107" s="36">
        <f ca="1">IFERROR(SUMIFS(INDIRECT(Hours[[#This Row],[table]]&amp;"[real time]"),INDIRECT(Hours[[#This Row],[table]]&amp;"[employee]"),C107,INDIRECT(Hours[[#This Row],[table]]&amp;"[date]"),F107,INDIRECT(Hours[[#This Row],[table]]&amp;"[code]"),"e"),"")</f>
        <v>0</v>
      </c>
    </row>
    <row r="108" spans="1:14" x14ac:dyDescent="0.25">
      <c r="A108" s="28" t="s">
        <v>73</v>
      </c>
      <c r="B108" s="28" t="s">
        <v>74</v>
      </c>
      <c r="C108" s="1" t="s">
        <v>75</v>
      </c>
      <c r="D108" s="32" t="str">
        <f>IF(NOT(ISBLANK(Hours[[#This Row],[employee]])),IF(ISNUMBER(Hours[[#This Row],[employee]]),"REG","CON"),"")</f>
        <v>CON</v>
      </c>
      <c r="E108" s="32" t="str">
        <f>IF(Hours[[#This Row],[cat]]="CON","Contractors",IF(Hours[[#This Row],[cat]]="REG","Employees",""))</f>
        <v>Contractors</v>
      </c>
      <c r="F108" s="34">
        <v>44168</v>
      </c>
      <c r="G108" s="35">
        <v>0.27083333333333331</v>
      </c>
      <c r="H108" s="35">
        <v>0.66666666666666663</v>
      </c>
      <c r="I108" s="29">
        <f>IF(H108&lt;G108,24+H108-G108,H108-G108)</f>
        <v>0.39583333333333331</v>
      </c>
      <c r="J108" s="36">
        <v>0.375</v>
      </c>
      <c r="K108" s="36">
        <f ca="1">IFERROR(SUMIFS(INDIRECT(Hours[[#This Row],[table]]&amp;"[real time]"),INDIRECT(Hours[[#This Row],[table]]&amp;"[employee]"),C108,INDIRECT(Hours[[#This Row],[table]]&amp;"[date]"),F108),"")</f>
        <v>0</v>
      </c>
      <c r="L108" s="36">
        <f ca="1">IFERROR(SUM(SUMIFS(INDIRECT(Hours[[#This Row],[table]]&amp;"[real time]"),INDIRECT(Hours[[#This Row],[table]]&amp;"[employee]"),C108,INDIRECT(Hours[[#This Row],[table]]&amp;"[date]"),F108,INDIRECT(Hours[[#This Row],[table]]&amp;"[code]"),{"a","x",""})),"")</f>
        <v>0</v>
      </c>
      <c r="M108" s="36">
        <f ca="1">IFERROR(SUMIFS(INDIRECT(Hours[[#This Row],[table]]&amp;"[real time]"),INDIRECT(Hours[[#This Row],[table]]&amp;"[employee]"),C108,INDIRECT(Hours[[#This Row],[table]]&amp;"[date]"),F108,INDIRECT(Hours[[#This Row],[table]]&amp;"[code]"),"m"),"")</f>
        <v>0</v>
      </c>
      <c r="N108" s="36">
        <f ca="1">IFERROR(SUMIFS(INDIRECT(Hours[[#This Row],[table]]&amp;"[real time]"),INDIRECT(Hours[[#This Row],[table]]&amp;"[employee]"),C108,INDIRECT(Hours[[#This Row],[table]]&amp;"[date]"),F108,INDIRECT(Hours[[#This Row],[table]]&amp;"[code]"),"e"),"")</f>
        <v>0</v>
      </c>
    </row>
    <row r="109" spans="1:14" x14ac:dyDescent="0.25">
      <c r="A109" s="28" t="s">
        <v>73</v>
      </c>
      <c r="B109" s="28" t="s">
        <v>74</v>
      </c>
      <c r="C109" s="1" t="s">
        <v>75</v>
      </c>
      <c r="D109" s="32" t="str">
        <f>IF(NOT(ISBLANK(Hours[[#This Row],[employee]])),IF(ISNUMBER(Hours[[#This Row],[employee]]),"REG","CON"),"")</f>
        <v>CON</v>
      </c>
      <c r="E109" s="32" t="str">
        <f>IF(Hours[[#This Row],[cat]]="CON","Contractors",IF(Hours[[#This Row],[cat]]="REG","Employees",""))</f>
        <v>Contractors</v>
      </c>
      <c r="F109" s="34">
        <v>44169</v>
      </c>
      <c r="G109" s="35">
        <v>0.27361111111111108</v>
      </c>
      <c r="H109" s="35">
        <v>0.67013888888888884</v>
      </c>
      <c r="I109" s="29">
        <f>IF(H109&lt;G109,24+H109-G109,H109-G109)</f>
        <v>0.39652777777777776</v>
      </c>
      <c r="J109" s="36">
        <v>0.375</v>
      </c>
      <c r="K109" s="36">
        <f ca="1">IFERROR(SUMIFS(INDIRECT(Hours[[#This Row],[table]]&amp;"[real time]"),INDIRECT(Hours[[#This Row],[table]]&amp;"[employee]"),C109,INDIRECT(Hours[[#This Row],[table]]&amp;"[date]"),F109),"")</f>
        <v>0</v>
      </c>
      <c r="L109" s="36">
        <f ca="1">IFERROR(SUM(SUMIFS(INDIRECT(Hours[[#This Row],[table]]&amp;"[real time]"),INDIRECT(Hours[[#This Row],[table]]&amp;"[employee]"),C109,INDIRECT(Hours[[#This Row],[table]]&amp;"[date]"),F109,INDIRECT(Hours[[#This Row],[table]]&amp;"[code]"),{"a","x",""})),"")</f>
        <v>0</v>
      </c>
      <c r="M109" s="36">
        <f ca="1">IFERROR(SUMIFS(INDIRECT(Hours[[#This Row],[table]]&amp;"[real time]"),INDIRECT(Hours[[#This Row],[table]]&amp;"[employee]"),C109,INDIRECT(Hours[[#This Row],[table]]&amp;"[date]"),F109,INDIRECT(Hours[[#This Row],[table]]&amp;"[code]"),"m"),"")</f>
        <v>0</v>
      </c>
      <c r="N109" s="36">
        <f ca="1">IFERROR(SUMIFS(INDIRECT(Hours[[#This Row],[table]]&amp;"[real time]"),INDIRECT(Hours[[#This Row],[table]]&amp;"[employee]"),C109,INDIRECT(Hours[[#This Row],[table]]&amp;"[date]"),F109,INDIRECT(Hours[[#This Row],[table]]&amp;"[code]"),"e"),"")</f>
        <v>0</v>
      </c>
    </row>
    <row r="110" spans="1:14" x14ac:dyDescent="0.25">
      <c r="A110" s="28" t="s">
        <v>76</v>
      </c>
      <c r="B110" s="28" t="s">
        <v>77</v>
      </c>
      <c r="C110" s="1" t="s">
        <v>78</v>
      </c>
      <c r="D110" s="32" t="str">
        <f>IF(NOT(ISBLANK(Hours[[#This Row],[employee]])),IF(ISNUMBER(Hours[[#This Row],[employee]]),"REG","CON"),"")</f>
        <v>CON</v>
      </c>
      <c r="E110" s="32" t="str">
        <f>IF(Hours[[#This Row],[cat]]="CON","Contractors",IF(Hours[[#This Row],[cat]]="REG","Employees",""))</f>
        <v>Contractors</v>
      </c>
      <c r="F110" s="34">
        <v>44160</v>
      </c>
      <c r="G110" s="35">
        <v>0.6777777777777777</v>
      </c>
      <c r="H110" s="35">
        <v>8.3333333333333329E-2</v>
      </c>
      <c r="I110" s="29">
        <f>IF(H110&lt;G110,24+H110-G110,H110-G110)</f>
        <v>23.405555555555555</v>
      </c>
      <c r="J110" s="36">
        <v>0.375</v>
      </c>
      <c r="K110" s="36">
        <f ca="1">IFERROR(SUMIFS(INDIRECT(Hours[[#This Row],[table]]&amp;"[real time]"),INDIRECT(Hours[[#This Row],[table]]&amp;"[employee]"),C110,INDIRECT(Hours[[#This Row],[table]]&amp;"[date]"),F110),"")</f>
        <v>0</v>
      </c>
      <c r="L110" s="36">
        <f ca="1">IFERROR(SUM(SUMIFS(INDIRECT(Hours[[#This Row],[table]]&amp;"[real time]"),INDIRECT(Hours[[#This Row],[table]]&amp;"[employee]"),C110,INDIRECT(Hours[[#This Row],[table]]&amp;"[date]"),F110,INDIRECT(Hours[[#This Row],[table]]&amp;"[code]"),{"a","x",""})),"")</f>
        <v>0</v>
      </c>
      <c r="M110" s="36">
        <f ca="1">IFERROR(SUMIFS(INDIRECT(Hours[[#This Row],[table]]&amp;"[real time]"),INDIRECT(Hours[[#This Row],[table]]&amp;"[employee]"),C110,INDIRECT(Hours[[#This Row],[table]]&amp;"[date]"),F110,INDIRECT(Hours[[#This Row],[table]]&amp;"[code]"),"m"),"")</f>
        <v>0</v>
      </c>
      <c r="N110" s="36">
        <f ca="1">IFERROR(SUMIFS(INDIRECT(Hours[[#This Row],[table]]&amp;"[real time]"),INDIRECT(Hours[[#This Row],[table]]&amp;"[employee]"),C110,INDIRECT(Hours[[#This Row],[table]]&amp;"[date]"),F110,INDIRECT(Hours[[#This Row],[table]]&amp;"[code]"),"e"),"")</f>
        <v>0</v>
      </c>
    </row>
    <row r="111" spans="1:14" x14ac:dyDescent="0.25">
      <c r="A111" s="28" t="s">
        <v>76</v>
      </c>
      <c r="B111" s="28" t="s">
        <v>77</v>
      </c>
      <c r="C111" s="1" t="s">
        <v>78</v>
      </c>
      <c r="D111" s="32" t="str">
        <f>IF(NOT(ISBLANK(Hours[[#This Row],[employee]])),IF(ISNUMBER(Hours[[#This Row],[employee]]),"REG","CON"),"")</f>
        <v>CON</v>
      </c>
      <c r="E111" s="32" t="str">
        <f>IF(Hours[[#This Row],[cat]]="CON","Contractors",IF(Hours[[#This Row],[cat]]="REG","Employees",""))</f>
        <v>Contractors</v>
      </c>
      <c r="F111" s="34">
        <v>44161</v>
      </c>
      <c r="G111" s="35">
        <v>0.67986111111111114</v>
      </c>
      <c r="H111" s="35">
        <v>8.3333333333333329E-2</v>
      </c>
      <c r="I111" s="29">
        <f>IF(H111&lt;G111,24+H111-G111,H111-G111)</f>
        <v>23.40347222222222</v>
      </c>
      <c r="J111" s="36">
        <v>0.375</v>
      </c>
      <c r="K111" s="36">
        <f ca="1">IFERROR(SUMIFS(INDIRECT(Hours[[#This Row],[table]]&amp;"[real time]"),INDIRECT(Hours[[#This Row],[table]]&amp;"[employee]"),C111,INDIRECT(Hours[[#This Row],[table]]&amp;"[date]"),F111),"")</f>
        <v>0</v>
      </c>
      <c r="L111" s="36">
        <f ca="1">IFERROR(SUM(SUMIFS(INDIRECT(Hours[[#This Row],[table]]&amp;"[real time]"),INDIRECT(Hours[[#This Row],[table]]&amp;"[employee]"),C111,INDIRECT(Hours[[#This Row],[table]]&amp;"[date]"),F111,INDIRECT(Hours[[#This Row],[table]]&amp;"[code]"),{"a","x",""})),"")</f>
        <v>0</v>
      </c>
      <c r="M111" s="36">
        <f ca="1">IFERROR(SUMIFS(INDIRECT(Hours[[#This Row],[table]]&amp;"[real time]"),INDIRECT(Hours[[#This Row],[table]]&amp;"[employee]"),C111,INDIRECT(Hours[[#This Row],[table]]&amp;"[date]"),F111,INDIRECT(Hours[[#This Row],[table]]&amp;"[code]"),"m"),"")</f>
        <v>0</v>
      </c>
      <c r="N111" s="36">
        <f ca="1">IFERROR(SUMIFS(INDIRECT(Hours[[#This Row],[table]]&amp;"[real time]"),INDIRECT(Hours[[#This Row],[table]]&amp;"[employee]"),C111,INDIRECT(Hours[[#This Row],[table]]&amp;"[date]"),F111,INDIRECT(Hours[[#This Row],[table]]&amp;"[code]"),"e"),"")</f>
        <v>0</v>
      </c>
    </row>
    <row r="112" spans="1:14" x14ac:dyDescent="0.25">
      <c r="A112" s="28" t="s">
        <v>76</v>
      </c>
      <c r="B112" s="28" t="s">
        <v>77</v>
      </c>
      <c r="C112" s="1" t="s">
        <v>78</v>
      </c>
      <c r="D112" s="32" t="str">
        <f>IF(NOT(ISBLANK(Hours[[#This Row],[employee]])),IF(ISNUMBER(Hours[[#This Row],[employee]]),"REG","CON"),"")</f>
        <v>CON</v>
      </c>
      <c r="E112" s="32" t="str">
        <f>IF(Hours[[#This Row],[cat]]="CON","Contractors",IF(Hours[[#This Row],[cat]]="REG","Employees",""))</f>
        <v>Contractors</v>
      </c>
      <c r="F112" s="34">
        <v>44162</v>
      </c>
      <c r="G112" s="35">
        <v>0.68194444444444446</v>
      </c>
      <c r="H112" s="35">
        <v>4.1666666666666664E-2</v>
      </c>
      <c r="I112" s="29">
        <f>IF(H112&lt;G112,24+H112-G112,H112-G112)</f>
        <v>23.359722222222224</v>
      </c>
      <c r="J112" s="36">
        <v>0.33333333333333331</v>
      </c>
      <c r="K112" s="36">
        <f ca="1">IFERROR(SUMIFS(INDIRECT(Hours[[#This Row],[table]]&amp;"[real time]"),INDIRECT(Hours[[#This Row],[table]]&amp;"[employee]"),C112,INDIRECT(Hours[[#This Row],[table]]&amp;"[date]"),F112),"")</f>
        <v>0</v>
      </c>
      <c r="L112" s="36">
        <f ca="1">IFERROR(SUM(SUMIFS(INDIRECT(Hours[[#This Row],[table]]&amp;"[real time]"),INDIRECT(Hours[[#This Row],[table]]&amp;"[employee]"),C112,INDIRECT(Hours[[#This Row],[table]]&amp;"[date]"),F112,INDIRECT(Hours[[#This Row],[table]]&amp;"[code]"),{"a","x",""})),"")</f>
        <v>0</v>
      </c>
      <c r="M112" s="36">
        <f ca="1">IFERROR(SUMIFS(INDIRECT(Hours[[#This Row],[table]]&amp;"[real time]"),INDIRECT(Hours[[#This Row],[table]]&amp;"[employee]"),C112,INDIRECT(Hours[[#This Row],[table]]&amp;"[date]"),F112,INDIRECT(Hours[[#This Row],[table]]&amp;"[code]"),"m"),"")</f>
        <v>0</v>
      </c>
      <c r="N112" s="36">
        <f ca="1">IFERROR(SUMIFS(INDIRECT(Hours[[#This Row],[table]]&amp;"[real time]"),INDIRECT(Hours[[#This Row],[table]]&amp;"[employee]"),C112,INDIRECT(Hours[[#This Row],[table]]&amp;"[date]"),F112,INDIRECT(Hours[[#This Row],[table]]&amp;"[code]"),"e"),"")</f>
        <v>0</v>
      </c>
    </row>
    <row r="113" spans="1:14" x14ac:dyDescent="0.25">
      <c r="A113" s="28" t="s">
        <v>76</v>
      </c>
      <c r="B113" s="28" t="s">
        <v>77</v>
      </c>
      <c r="C113" s="1" t="s">
        <v>78</v>
      </c>
      <c r="D113" s="32" t="str">
        <f>IF(NOT(ISBLANK(Hours[[#This Row],[employee]])),IF(ISNUMBER(Hours[[#This Row],[employee]]),"REG","CON"),"")</f>
        <v>CON</v>
      </c>
      <c r="E113" s="32" t="str">
        <f>IF(Hours[[#This Row],[cat]]="CON","Contractors",IF(Hours[[#This Row],[cat]]="REG","Employees",""))</f>
        <v>Contractors</v>
      </c>
      <c r="F113" s="34">
        <v>44164</v>
      </c>
      <c r="G113" s="35">
        <v>0.68402777777777779</v>
      </c>
      <c r="H113" s="35">
        <v>8.3333333333333329E-2</v>
      </c>
      <c r="I113" s="29">
        <f>IF(H113&lt;G113,24+H113-G113,H113-G113)</f>
        <v>23.399305555555554</v>
      </c>
      <c r="J113" s="36">
        <v>0.375</v>
      </c>
      <c r="K113" s="36">
        <f ca="1">IFERROR(SUMIFS(INDIRECT(Hours[[#This Row],[table]]&amp;"[real time]"),INDIRECT(Hours[[#This Row],[table]]&amp;"[employee]"),C113,INDIRECT(Hours[[#This Row],[table]]&amp;"[date]"),F113),"")</f>
        <v>0</v>
      </c>
      <c r="L113" s="36">
        <f ca="1">IFERROR(SUM(SUMIFS(INDIRECT(Hours[[#This Row],[table]]&amp;"[real time]"),INDIRECT(Hours[[#This Row],[table]]&amp;"[employee]"),C113,INDIRECT(Hours[[#This Row],[table]]&amp;"[date]"),F113,INDIRECT(Hours[[#This Row],[table]]&amp;"[code]"),{"a","x",""})),"")</f>
        <v>0</v>
      </c>
      <c r="M113" s="36">
        <f ca="1">IFERROR(SUMIFS(INDIRECT(Hours[[#This Row],[table]]&amp;"[real time]"),INDIRECT(Hours[[#This Row],[table]]&amp;"[employee]"),C113,INDIRECT(Hours[[#This Row],[table]]&amp;"[date]"),F113,INDIRECT(Hours[[#This Row],[table]]&amp;"[code]"),"m"),"")</f>
        <v>0</v>
      </c>
      <c r="N113" s="36">
        <f ca="1">IFERROR(SUMIFS(INDIRECT(Hours[[#This Row],[table]]&amp;"[real time]"),INDIRECT(Hours[[#This Row],[table]]&amp;"[employee]"),C113,INDIRECT(Hours[[#This Row],[table]]&amp;"[date]"),F113,INDIRECT(Hours[[#This Row],[table]]&amp;"[code]"),"e"),"")</f>
        <v>0</v>
      </c>
    </row>
    <row r="114" spans="1:14" x14ac:dyDescent="0.25">
      <c r="A114" s="28" t="s">
        <v>76</v>
      </c>
      <c r="B114" s="28" t="s">
        <v>77</v>
      </c>
      <c r="C114" s="1" t="s">
        <v>78</v>
      </c>
      <c r="D114" s="32" t="str">
        <f>IF(NOT(ISBLANK(Hours[[#This Row],[employee]])),IF(ISNUMBER(Hours[[#This Row],[employee]]),"REG","CON"),"")</f>
        <v>CON</v>
      </c>
      <c r="E114" s="32" t="str">
        <f>IF(Hours[[#This Row],[cat]]="CON","Contractors",IF(Hours[[#This Row],[cat]]="REG","Employees",""))</f>
        <v>Contractors</v>
      </c>
      <c r="F114" s="34">
        <v>44165</v>
      </c>
      <c r="G114" s="35">
        <v>0.68194444444444446</v>
      </c>
      <c r="H114" s="35">
        <v>8.3333333333333329E-2</v>
      </c>
      <c r="I114" s="29">
        <f>IF(H114&lt;G114,24+H114-G114,H114-G114)</f>
        <v>23.401388888888889</v>
      </c>
      <c r="J114" s="36">
        <v>0.375</v>
      </c>
      <c r="K114" s="36">
        <f ca="1">IFERROR(SUMIFS(INDIRECT(Hours[[#This Row],[table]]&amp;"[real time]"),INDIRECT(Hours[[#This Row],[table]]&amp;"[employee]"),C114,INDIRECT(Hours[[#This Row],[table]]&amp;"[date]"),F114),"")</f>
        <v>0</v>
      </c>
      <c r="L114" s="36">
        <f ca="1">IFERROR(SUM(SUMIFS(INDIRECT(Hours[[#This Row],[table]]&amp;"[real time]"),INDIRECT(Hours[[#This Row],[table]]&amp;"[employee]"),C114,INDIRECT(Hours[[#This Row],[table]]&amp;"[date]"),F114,INDIRECT(Hours[[#This Row],[table]]&amp;"[code]"),{"a","x",""})),"")</f>
        <v>0</v>
      </c>
      <c r="M114" s="36">
        <f ca="1">IFERROR(SUMIFS(INDIRECT(Hours[[#This Row],[table]]&amp;"[real time]"),INDIRECT(Hours[[#This Row],[table]]&amp;"[employee]"),C114,INDIRECT(Hours[[#This Row],[table]]&amp;"[date]"),F114,INDIRECT(Hours[[#This Row],[table]]&amp;"[code]"),"m"),"")</f>
        <v>0</v>
      </c>
      <c r="N114" s="36">
        <f ca="1">IFERROR(SUMIFS(INDIRECT(Hours[[#This Row],[table]]&amp;"[real time]"),INDIRECT(Hours[[#This Row],[table]]&amp;"[employee]"),C114,INDIRECT(Hours[[#This Row],[table]]&amp;"[date]"),F114,INDIRECT(Hours[[#This Row],[table]]&amp;"[code]"),"e"),"")</f>
        <v>0</v>
      </c>
    </row>
    <row r="115" spans="1:14" x14ac:dyDescent="0.25">
      <c r="A115" s="28" t="s">
        <v>76</v>
      </c>
      <c r="B115" s="28" t="s">
        <v>77</v>
      </c>
      <c r="C115" s="1" t="s">
        <v>78</v>
      </c>
      <c r="D115" s="32" t="str">
        <f>IF(NOT(ISBLANK(Hours[[#This Row],[employee]])),IF(ISNUMBER(Hours[[#This Row],[employee]]),"REG","CON"),"")</f>
        <v>CON</v>
      </c>
      <c r="E115" s="32" t="str">
        <f>IF(Hours[[#This Row],[cat]]="CON","Contractors",IF(Hours[[#This Row],[cat]]="REG","Employees",""))</f>
        <v>Contractors</v>
      </c>
      <c r="F115" s="34">
        <v>44166</v>
      </c>
      <c r="G115" s="35">
        <v>0.68263888888888891</v>
      </c>
      <c r="H115" s="35">
        <v>8.3333333333333329E-2</v>
      </c>
      <c r="I115" s="29">
        <f>IF(H115&lt;G115,24+H115-G115,H115-G115)</f>
        <v>23.400694444444444</v>
      </c>
      <c r="J115" s="36">
        <v>0.375</v>
      </c>
      <c r="K115" s="36">
        <f ca="1">IFERROR(SUMIFS(INDIRECT(Hours[[#This Row],[table]]&amp;"[real time]"),INDIRECT(Hours[[#This Row],[table]]&amp;"[employee]"),C115,INDIRECT(Hours[[#This Row],[table]]&amp;"[date]"),F115),"")</f>
        <v>0</v>
      </c>
      <c r="L115" s="36">
        <f ca="1">IFERROR(SUM(SUMIFS(INDIRECT(Hours[[#This Row],[table]]&amp;"[real time]"),INDIRECT(Hours[[#This Row],[table]]&amp;"[employee]"),C115,INDIRECT(Hours[[#This Row],[table]]&amp;"[date]"),F115,INDIRECT(Hours[[#This Row],[table]]&amp;"[code]"),{"a","x",""})),"")</f>
        <v>0</v>
      </c>
      <c r="M115" s="36">
        <f ca="1">IFERROR(SUMIFS(INDIRECT(Hours[[#This Row],[table]]&amp;"[real time]"),INDIRECT(Hours[[#This Row],[table]]&amp;"[employee]"),C115,INDIRECT(Hours[[#This Row],[table]]&amp;"[date]"),F115,INDIRECT(Hours[[#This Row],[table]]&amp;"[code]"),"m"),"")</f>
        <v>0</v>
      </c>
      <c r="N115" s="36">
        <f ca="1">IFERROR(SUMIFS(INDIRECT(Hours[[#This Row],[table]]&amp;"[real time]"),INDIRECT(Hours[[#This Row],[table]]&amp;"[employee]"),C115,INDIRECT(Hours[[#This Row],[table]]&amp;"[date]"),F115,INDIRECT(Hours[[#This Row],[table]]&amp;"[code]"),"e"),"")</f>
        <v>0</v>
      </c>
    </row>
    <row r="116" spans="1:14" x14ac:dyDescent="0.25">
      <c r="A116" s="28" t="s">
        <v>76</v>
      </c>
      <c r="B116" s="28" t="s">
        <v>77</v>
      </c>
      <c r="C116" s="1" t="s">
        <v>78</v>
      </c>
      <c r="D116" s="32" t="str">
        <f>IF(NOT(ISBLANK(Hours[[#This Row],[employee]])),IF(ISNUMBER(Hours[[#This Row],[employee]]),"REG","CON"),"")</f>
        <v>CON</v>
      </c>
      <c r="E116" s="32" t="str">
        <f>IF(Hours[[#This Row],[cat]]="CON","Contractors",IF(Hours[[#This Row],[cat]]="REG","Employees",""))</f>
        <v>Contractors</v>
      </c>
      <c r="F116" s="34">
        <v>44167</v>
      </c>
      <c r="G116" s="35">
        <v>0.67708333333333337</v>
      </c>
      <c r="H116" s="35">
        <v>8.3333333333333329E-2</v>
      </c>
      <c r="I116" s="29">
        <f>IF(H116&lt;G116,24+H116-G116,H116-G116)</f>
        <v>23.40625</v>
      </c>
      <c r="J116" s="36">
        <v>0.375</v>
      </c>
      <c r="K116" s="36">
        <f ca="1">IFERROR(SUMIFS(INDIRECT(Hours[[#This Row],[table]]&amp;"[real time]"),INDIRECT(Hours[[#This Row],[table]]&amp;"[employee]"),C116,INDIRECT(Hours[[#This Row],[table]]&amp;"[date]"),F116),"")</f>
        <v>0</v>
      </c>
      <c r="L116" s="36">
        <f ca="1">IFERROR(SUM(SUMIFS(INDIRECT(Hours[[#This Row],[table]]&amp;"[real time]"),INDIRECT(Hours[[#This Row],[table]]&amp;"[employee]"),C116,INDIRECT(Hours[[#This Row],[table]]&amp;"[date]"),F116,INDIRECT(Hours[[#This Row],[table]]&amp;"[code]"),{"a","x",""})),"")</f>
        <v>0</v>
      </c>
      <c r="M116" s="36">
        <f ca="1">IFERROR(SUMIFS(INDIRECT(Hours[[#This Row],[table]]&amp;"[real time]"),INDIRECT(Hours[[#This Row],[table]]&amp;"[employee]"),C116,INDIRECT(Hours[[#This Row],[table]]&amp;"[date]"),F116,INDIRECT(Hours[[#This Row],[table]]&amp;"[code]"),"m"),"")</f>
        <v>0</v>
      </c>
      <c r="N116" s="36">
        <f ca="1">IFERROR(SUMIFS(INDIRECT(Hours[[#This Row],[table]]&amp;"[real time]"),INDIRECT(Hours[[#This Row],[table]]&amp;"[employee]"),C116,INDIRECT(Hours[[#This Row],[table]]&amp;"[date]"),F116,INDIRECT(Hours[[#This Row],[table]]&amp;"[code]"),"e"),"")</f>
        <v>0</v>
      </c>
    </row>
    <row r="117" spans="1:14" x14ac:dyDescent="0.25">
      <c r="A117" s="28" t="s">
        <v>76</v>
      </c>
      <c r="B117" s="28" t="s">
        <v>77</v>
      </c>
      <c r="C117" s="1" t="s">
        <v>78</v>
      </c>
      <c r="D117" s="32" t="str">
        <f>IF(NOT(ISBLANK(Hours[[#This Row],[employee]])),IF(ISNUMBER(Hours[[#This Row],[employee]]),"REG","CON"),"")</f>
        <v>CON</v>
      </c>
      <c r="E117" s="32" t="str">
        <f>IF(Hours[[#This Row],[cat]]="CON","Contractors",IF(Hours[[#This Row],[cat]]="REG","Employees",""))</f>
        <v>Contractors</v>
      </c>
      <c r="F117" s="34">
        <v>44168</v>
      </c>
      <c r="G117" s="35">
        <v>0.68333333333333324</v>
      </c>
      <c r="H117" s="35">
        <v>8.3333333333333329E-2</v>
      </c>
      <c r="I117" s="29">
        <f>IF(H117&lt;G117,24+H117-G117,H117-G117)</f>
        <v>23.4</v>
      </c>
      <c r="J117" s="36">
        <v>0.375</v>
      </c>
      <c r="K117" s="36">
        <f ca="1">IFERROR(SUMIFS(INDIRECT(Hours[[#This Row],[table]]&amp;"[real time]"),INDIRECT(Hours[[#This Row],[table]]&amp;"[employee]"),C117,INDIRECT(Hours[[#This Row],[table]]&amp;"[date]"),F117),"")</f>
        <v>0</v>
      </c>
      <c r="L117" s="36">
        <f ca="1">IFERROR(SUM(SUMIFS(INDIRECT(Hours[[#This Row],[table]]&amp;"[real time]"),INDIRECT(Hours[[#This Row],[table]]&amp;"[employee]"),C117,INDIRECT(Hours[[#This Row],[table]]&amp;"[date]"),F117,INDIRECT(Hours[[#This Row],[table]]&amp;"[code]"),{"a","x",""})),"")</f>
        <v>0</v>
      </c>
      <c r="M117" s="36">
        <f ca="1">IFERROR(SUMIFS(INDIRECT(Hours[[#This Row],[table]]&amp;"[real time]"),INDIRECT(Hours[[#This Row],[table]]&amp;"[employee]"),C117,INDIRECT(Hours[[#This Row],[table]]&amp;"[date]"),F117,INDIRECT(Hours[[#This Row],[table]]&amp;"[code]"),"m"),"")</f>
        <v>0</v>
      </c>
      <c r="N117" s="36">
        <f ca="1">IFERROR(SUMIFS(INDIRECT(Hours[[#This Row],[table]]&amp;"[real time]"),INDIRECT(Hours[[#This Row],[table]]&amp;"[employee]"),C117,INDIRECT(Hours[[#This Row],[table]]&amp;"[date]"),F117,INDIRECT(Hours[[#This Row],[table]]&amp;"[code]"),"e"),"")</f>
        <v>0</v>
      </c>
    </row>
    <row r="118" spans="1:14" x14ac:dyDescent="0.25">
      <c r="A118" s="28" t="s">
        <v>76</v>
      </c>
      <c r="B118" s="28" t="s">
        <v>77</v>
      </c>
      <c r="C118" s="1" t="s">
        <v>78</v>
      </c>
      <c r="D118" s="32" t="str">
        <f>IF(NOT(ISBLANK(Hours[[#This Row],[employee]])),IF(ISNUMBER(Hours[[#This Row],[employee]]),"REG","CON"),"")</f>
        <v>CON</v>
      </c>
      <c r="E118" s="32" t="str">
        <f>IF(Hours[[#This Row],[cat]]="CON","Contractors",IF(Hours[[#This Row],[cat]]="REG","Employees",""))</f>
        <v>Contractors</v>
      </c>
      <c r="F118" s="34">
        <v>44169</v>
      </c>
      <c r="G118" s="35">
        <v>0.68402777777777779</v>
      </c>
      <c r="H118" s="35">
        <v>4.1666666666666664E-2</v>
      </c>
      <c r="I118" s="29">
        <f>IF(H118&lt;G118,24+H118-G118,H118-G118)</f>
        <v>23.357638888888889</v>
      </c>
      <c r="J118" s="36">
        <v>0.33333333333333331</v>
      </c>
      <c r="K118" s="36">
        <f ca="1">IFERROR(SUMIFS(INDIRECT(Hours[[#This Row],[table]]&amp;"[real time]"),INDIRECT(Hours[[#This Row],[table]]&amp;"[employee]"),C118,INDIRECT(Hours[[#This Row],[table]]&amp;"[date]"),F118),"")</f>
        <v>0</v>
      </c>
      <c r="L118" s="36">
        <f ca="1">IFERROR(SUM(SUMIFS(INDIRECT(Hours[[#This Row],[table]]&amp;"[real time]"),INDIRECT(Hours[[#This Row],[table]]&amp;"[employee]"),C118,INDIRECT(Hours[[#This Row],[table]]&amp;"[date]"),F118,INDIRECT(Hours[[#This Row],[table]]&amp;"[code]"),{"a","x",""})),"")</f>
        <v>0</v>
      </c>
      <c r="M118" s="36">
        <f ca="1">IFERROR(SUMIFS(INDIRECT(Hours[[#This Row],[table]]&amp;"[real time]"),INDIRECT(Hours[[#This Row],[table]]&amp;"[employee]"),C118,INDIRECT(Hours[[#This Row],[table]]&amp;"[date]"),F118,INDIRECT(Hours[[#This Row],[table]]&amp;"[code]"),"m"),"")</f>
        <v>0</v>
      </c>
      <c r="N118" s="36">
        <f ca="1">IFERROR(SUMIFS(INDIRECT(Hours[[#This Row],[table]]&amp;"[real time]"),INDIRECT(Hours[[#This Row],[table]]&amp;"[employee]"),C118,INDIRECT(Hours[[#This Row],[table]]&amp;"[date]"),F118,INDIRECT(Hours[[#This Row],[table]]&amp;"[code]"),"e"),"")</f>
        <v>0</v>
      </c>
    </row>
    <row r="119" spans="1:14" x14ac:dyDescent="0.25">
      <c r="A119" s="28" t="s">
        <v>80</v>
      </c>
      <c r="B119" s="28" t="s">
        <v>81</v>
      </c>
      <c r="C119" s="1" t="s">
        <v>79</v>
      </c>
      <c r="D119" s="32" t="str">
        <f>IF(NOT(ISBLANK(Hours[[#This Row],[employee]])),IF(ISNUMBER(Hours[[#This Row],[employee]]),"REG","CON"),"")</f>
        <v>CON</v>
      </c>
      <c r="E119" s="32" t="str">
        <f>IF(Hours[[#This Row],[cat]]="CON","Contractors",IF(Hours[[#This Row],[cat]]="REG","Employees",""))</f>
        <v>Contractors</v>
      </c>
      <c r="F119" s="34">
        <v>44156</v>
      </c>
      <c r="G119" s="35">
        <v>0.27013888888888887</v>
      </c>
      <c r="H119" s="35">
        <v>0.66666666666666663</v>
      </c>
      <c r="I119" s="29">
        <f>IF(H119&lt;G119,24+H119-G119,H119-G119)</f>
        <v>0.39652777777777776</v>
      </c>
      <c r="J119" s="36">
        <v>0.375</v>
      </c>
      <c r="K119" s="36">
        <f ca="1">IFERROR(SUMIFS(INDIRECT(Hours[[#This Row],[table]]&amp;"[real time]"),INDIRECT(Hours[[#This Row],[table]]&amp;"[employee]"),C119,INDIRECT(Hours[[#This Row],[table]]&amp;"[date]"),F119),"")</f>
        <v>0</v>
      </c>
      <c r="L119" s="36">
        <f ca="1">IFERROR(SUM(SUMIFS(INDIRECT(Hours[[#This Row],[table]]&amp;"[real time]"),INDIRECT(Hours[[#This Row],[table]]&amp;"[employee]"),C119,INDIRECT(Hours[[#This Row],[table]]&amp;"[date]"),F119,INDIRECT(Hours[[#This Row],[table]]&amp;"[code]"),{"a","x",""})),"")</f>
        <v>0</v>
      </c>
      <c r="M119" s="36">
        <f ca="1">IFERROR(SUMIFS(INDIRECT(Hours[[#This Row],[table]]&amp;"[real time]"),INDIRECT(Hours[[#This Row],[table]]&amp;"[employee]"),C119,INDIRECT(Hours[[#This Row],[table]]&amp;"[date]"),F119,INDIRECT(Hours[[#This Row],[table]]&amp;"[code]"),"m"),"")</f>
        <v>0</v>
      </c>
      <c r="N119" s="36">
        <f ca="1">IFERROR(SUMIFS(INDIRECT(Hours[[#This Row],[table]]&amp;"[real time]"),INDIRECT(Hours[[#This Row],[table]]&amp;"[employee]"),C119,INDIRECT(Hours[[#This Row],[table]]&amp;"[date]"),F119,INDIRECT(Hours[[#This Row],[table]]&amp;"[code]"),"e"),"")</f>
        <v>0</v>
      </c>
    </row>
    <row r="120" spans="1:14" x14ac:dyDescent="0.25">
      <c r="A120" s="28" t="s">
        <v>80</v>
      </c>
      <c r="B120" s="28" t="s">
        <v>81</v>
      </c>
      <c r="C120" s="1" t="s">
        <v>79</v>
      </c>
      <c r="D120" s="32" t="str">
        <f>IF(NOT(ISBLANK(Hours[[#This Row],[employee]])),IF(ISNUMBER(Hours[[#This Row],[employee]]),"REG","CON"),"")</f>
        <v>CON</v>
      </c>
      <c r="E120" s="32" t="str">
        <f>IF(Hours[[#This Row],[cat]]="CON","Contractors",IF(Hours[[#This Row],[cat]]="REG","Employees",""))</f>
        <v>Contractors</v>
      </c>
      <c r="F120" s="34">
        <v>44158</v>
      </c>
      <c r="G120" s="35">
        <v>0.27013888888888887</v>
      </c>
      <c r="H120" s="35">
        <v>0.66666666666666663</v>
      </c>
      <c r="I120" s="29">
        <f>IF(H120&lt;G120,24+H120-G120,H120-G120)</f>
        <v>0.39652777777777776</v>
      </c>
      <c r="J120" s="36">
        <v>0.375</v>
      </c>
      <c r="K120" s="36">
        <f ca="1">IFERROR(SUMIFS(INDIRECT(Hours[[#This Row],[table]]&amp;"[real time]"),INDIRECT(Hours[[#This Row],[table]]&amp;"[employee]"),C120,INDIRECT(Hours[[#This Row],[table]]&amp;"[date]"),F120),"")</f>
        <v>0</v>
      </c>
      <c r="L120" s="36">
        <f ca="1">IFERROR(SUM(SUMIFS(INDIRECT(Hours[[#This Row],[table]]&amp;"[real time]"),INDIRECT(Hours[[#This Row],[table]]&amp;"[employee]"),C120,INDIRECT(Hours[[#This Row],[table]]&amp;"[date]"),F120,INDIRECT(Hours[[#This Row],[table]]&amp;"[code]"),{"a","x",""})),"")</f>
        <v>0</v>
      </c>
      <c r="M120" s="36">
        <f ca="1">IFERROR(SUMIFS(INDIRECT(Hours[[#This Row],[table]]&amp;"[real time]"),INDIRECT(Hours[[#This Row],[table]]&amp;"[employee]"),C120,INDIRECT(Hours[[#This Row],[table]]&amp;"[date]"),F120,INDIRECT(Hours[[#This Row],[table]]&amp;"[code]"),"m"),"")</f>
        <v>0</v>
      </c>
      <c r="N120" s="36">
        <f ca="1">IFERROR(SUMIFS(INDIRECT(Hours[[#This Row],[table]]&amp;"[real time]"),INDIRECT(Hours[[#This Row],[table]]&amp;"[employee]"),C120,INDIRECT(Hours[[#This Row],[table]]&amp;"[date]"),F120,INDIRECT(Hours[[#This Row],[table]]&amp;"[code]"),"e"),"")</f>
        <v>0</v>
      </c>
    </row>
    <row r="121" spans="1:14" x14ac:dyDescent="0.25">
      <c r="A121" s="28" t="s">
        <v>80</v>
      </c>
      <c r="B121" s="28" t="s">
        <v>81</v>
      </c>
      <c r="C121" s="1" t="s">
        <v>79</v>
      </c>
      <c r="D121" s="32" t="str">
        <f>IF(NOT(ISBLANK(Hours[[#This Row],[employee]])),IF(ISNUMBER(Hours[[#This Row],[employee]]),"REG","CON"),"")</f>
        <v>CON</v>
      </c>
      <c r="E121" s="32" t="str">
        <f>IF(Hours[[#This Row],[cat]]="CON","Contractors",IF(Hours[[#This Row],[cat]]="REG","Employees",""))</f>
        <v>Contractors</v>
      </c>
      <c r="F121" s="34">
        <v>44159</v>
      </c>
      <c r="G121" s="35">
        <v>0.27083333333333331</v>
      </c>
      <c r="H121" s="35">
        <v>0.67222222222222217</v>
      </c>
      <c r="I121" s="29">
        <f>IF(H121&lt;G121,24+H121-G121,H121-G121)</f>
        <v>0.40138888888888885</v>
      </c>
      <c r="J121" s="36">
        <v>0.375</v>
      </c>
      <c r="K121" s="36">
        <f ca="1">IFERROR(SUMIFS(INDIRECT(Hours[[#This Row],[table]]&amp;"[real time]"),INDIRECT(Hours[[#This Row],[table]]&amp;"[employee]"),C121,INDIRECT(Hours[[#This Row],[table]]&amp;"[date]"),F121),"")</f>
        <v>0</v>
      </c>
      <c r="L121" s="36">
        <f ca="1">IFERROR(SUM(SUMIFS(INDIRECT(Hours[[#This Row],[table]]&amp;"[real time]"),INDIRECT(Hours[[#This Row],[table]]&amp;"[employee]"),C121,INDIRECT(Hours[[#This Row],[table]]&amp;"[date]"),F121,INDIRECT(Hours[[#This Row],[table]]&amp;"[code]"),{"a","x",""})),"")</f>
        <v>0</v>
      </c>
      <c r="M121" s="36">
        <f ca="1">IFERROR(SUMIFS(INDIRECT(Hours[[#This Row],[table]]&amp;"[real time]"),INDIRECT(Hours[[#This Row],[table]]&amp;"[employee]"),C121,INDIRECT(Hours[[#This Row],[table]]&amp;"[date]"),F121,INDIRECT(Hours[[#This Row],[table]]&amp;"[code]"),"m"),"")</f>
        <v>0</v>
      </c>
      <c r="N121" s="36">
        <f ca="1">IFERROR(SUMIFS(INDIRECT(Hours[[#This Row],[table]]&amp;"[real time]"),INDIRECT(Hours[[#This Row],[table]]&amp;"[employee]"),C121,INDIRECT(Hours[[#This Row],[table]]&amp;"[date]"),F121,INDIRECT(Hours[[#This Row],[table]]&amp;"[code]"),"e"),"")</f>
        <v>0</v>
      </c>
    </row>
    <row r="122" spans="1:14" x14ac:dyDescent="0.25">
      <c r="A122" s="28" t="s">
        <v>80</v>
      </c>
      <c r="B122" s="28" t="s">
        <v>81</v>
      </c>
      <c r="C122" s="1" t="s">
        <v>79</v>
      </c>
      <c r="D122" s="32" t="str">
        <f>IF(NOT(ISBLANK(Hours[[#This Row],[employee]])),IF(ISNUMBER(Hours[[#This Row],[employee]]),"REG","CON"),"")</f>
        <v>CON</v>
      </c>
      <c r="E122" s="32" t="str">
        <f>IF(Hours[[#This Row],[cat]]="CON","Contractors",IF(Hours[[#This Row],[cat]]="REG","Employees",""))</f>
        <v>Contractors</v>
      </c>
      <c r="F122" s="34">
        <v>44160</v>
      </c>
      <c r="G122" s="35">
        <v>0.27083333333333331</v>
      </c>
      <c r="H122" s="35">
        <v>0.75208333333333333</v>
      </c>
      <c r="I122" s="29">
        <f>IF(H122&lt;G122,24+H122-G122,H122-G122)</f>
        <v>0.48125000000000001</v>
      </c>
      <c r="J122" s="36">
        <v>0.45833333333333331</v>
      </c>
      <c r="K122" s="36">
        <f ca="1">IFERROR(SUMIFS(INDIRECT(Hours[[#This Row],[table]]&amp;"[real time]"),INDIRECT(Hours[[#This Row],[table]]&amp;"[employee]"),C122,INDIRECT(Hours[[#This Row],[table]]&amp;"[date]"),F122),"")</f>
        <v>0</v>
      </c>
      <c r="L122" s="36">
        <f ca="1">IFERROR(SUM(SUMIFS(INDIRECT(Hours[[#This Row],[table]]&amp;"[real time]"),INDIRECT(Hours[[#This Row],[table]]&amp;"[employee]"),C122,INDIRECT(Hours[[#This Row],[table]]&amp;"[date]"),F122,INDIRECT(Hours[[#This Row],[table]]&amp;"[code]"),{"a","x",""})),"")</f>
        <v>0</v>
      </c>
      <c r="M122" s="36">
        <f ca="1">IFERROR(SUMIFS(INDIRECT(Hours[[#This Row],[table]]&amp;"[real time]"),INDIRECT(Hours[[#This Row],[table]]&amp;"[employee]"),C122,INDIRECT(Hours[[#This Row],[table]]&amp;"[date]"),F122,INDIRECT(Hours[[#This Row],[table]]&amp;"[code]"),"m"),"")</f>
        <v>0</v>
      </c>
      <c r="N122" s="36">
        <f ca="1">IFERROR(SUMIFS(INDIRECT(Hours[[#This Row],[table]]&amp;"[real time]"),INDIRECT(Hours[[#This Row],[table]]&amp;"[employee]"),C122,INDIRECT(Hours[[#This Row],[table]]&amp;"[date]"),F122,INDIRECT(Hours[[#This Row],[table]]&amp;"[code]"),"e"),"")</f>
        <v>0</v>
      </c>
    </row>
    <row r="123" spans="1:14" x14ac:dyDescent="0.25">
      <c r="A123" s="28" t="s">
        <v>80</v>
      </c>
      <c r="B123" s="28" t="s">
        <v>81</v>
      </c>
      <c r="C123" s="1" t="s">
        <v>79</v>
      </c>
      <c r="D123" s="32" t="str">
        <f>IF(NOT(ISBLANK(Hours[[#This Row],[employee]])),IF(ISNUMBER(Hours[[#This Row],[employee]]),"REG","CON"),"")</f>
        <v>CON</v>
      </c>
      <c r="E123" s="32" t="str">
        <f>IF(Hours[[#This Row],[cat]]="CON","Contractors",IF(Hours[[#This Row],[cat]]="REG","Employees",""))</f>
        <v>Contractors</v>
      </c>
      <c r="F123" s="34">
        <v>44161</v>
      </c>
      <c r="G123" s="35">
        <v>0.27083333333333331</v>
      </c>
      <c r="H123" s="35">
        <v>0.66666666666666663</v>
      </c>
      <c r="I123" s="29">
        <f>IF(H123&lt;G123,24+H123-G123,H123-G123)</f>
        <v>0.39583333333333331</v>
      </c>
      <c r="J123" s="36">
        <v>0.375</v>
      </c>
      <c r="K123" s="36">
        <f ca="1">IFERROR(SUMIFS(INDIRECT(Hours[[#This Row],[table]]&amp;"[real time]"),INDIRECT(Hours[[#This Row],[table]]&amp;"[employee]"),C123,INDIRECT(Hours[[#This Row],[table]]&amp;"[date]"),F123),"")</f>
        <v>0</v>
      </c>
      <c r="L123" s="36">
        <f ca="1">IFERROR(SUM(SUMIFS(INDIRECT(Hours[[#This Row],[table]]&amp;"[real time]"),INDIRECT(Hours[[#This Row],[table]]&amp;"[employee]"),C123,INDIRECT(Hours[[#This Row],[table]]&amp;"[date]"),F123,INDIRECT(Hours[[#This Row],[table]]&amp;"[code]"),{"a","x",""})),"")</f>
        <v>0</v>
      </c>
      <c r="M123" s="36">
        <f ca="1">IFERROR(SUMIFS(INDIRECT(Hours[[#This Row],[table]]&amp;"[real time]"),INDIRECT(Hours[[#This Row],[table]]&amp;"[employee]"),C123,INDIRECT(Hours[[#This Row],[table]]&amp;"[date]"),F123,INDIRECT(Hours[[#This Row],[table]]&amp;"[code]"),"m"),"")</f>
        <v>0</v>
      </c>
      <c r="N123" s="36">
        <f ca="1">IFERROR(SUMIFS(INDIRECT(Hours[[#This Row],[table]]&amp;"[real time]"),INDIRECT(Hours[[#This Row],[table]]&amp;"[employee]"),C123,INDIRECT(Hours[[#This Row],[table]]&amp;"[date]"),F123,INDIRECT(Hours[[#This Row],[table]]&amp;"[code]"),"e"),"")</f>
        <v>0</v>
      </c>
    </row>
    <row r="124" spans="1:14" x14ac:dyDescent="0.25">
      <c r="A124" s="28" t="s">
        <v>80</v>
      </c>
      <c r="B124" s="28" t="s">
        <v>81</v>
      </c>
      <c r="C124" s="1" t="s">
        <v>79</v>
      </c>
      <c r="D124" s="32" t="str">
        <f>IF(NOT(ISBLANK(Hours[[#This Row],[employee]])),IF(ISNUMBER(Hours[[#This Row],[employee]]),"REG","CON"),"")</f>
        <v>CON</v>
      </c>
      <c r="E124" s="32" t="str">
        <f>IF(Hours[[#This Row],[cat]]="CON","Contractors",IF(Hours[[#This Row],[cat]]="REG","Employees",""))</f>
        <v>Contractors</v>
      </c>
      <c r="F124" s="34">
        <v>44162</v>
      </c>
      <c r="G124" s="35">
        <v>0.27152777777777776</v>
      </c>
      <c r="H124" s="35">
        <v>0.66666666666666663</v>
      </c>
      <c r="I124" s="29">
        <f>IF(H124&lt;G124,24+H124-G124,H124-G124)</f>
        <v>0.39513888888888887</v>
      </c>
      <c r="J124" s="36">
        <v>0.375</v>
      </c>
      <c r="K124" s="36">
        <f ca="1">IFERROR(SUMIFS(INDIRECT(Hours[[#This Row],[table]]&amp;"[real time]"),INDIRECT(Hours[[#This Row],[table]]&amp;"[employee]"),C124,INDIRECT(Hours[[#This Row],[table]]&amp;"[date]"),F124),"")</f>
        <v>0</v>
      </c>
      <c r="L124" s="36">
        <f ca="1">IFERROR(SUM(SUMIFS(INDIRECT(Hours[[#This Row],[table]]&amp;"[real time]"),INDIRECT(Hours[[#This Row],[table]]&amp;"[employee]"),C124,INDIRECT(Hours[[#This Row],[table]]&amp;"[date]"),F124,INDIRECT(Hours[[#This Row],[table]]&amp;"[code]"),{"a","x",""})),"")</f>
        <v>0</v>
      </c>
      <c r="M124" s="36">
        <f ca="1">IFERROR(SUMIFS(INDIRECT(Hours[[#This Row],[table]]&amp;"[real time]"),INDIRECT(Hours[[#This Row],[table]]&amp;"[employee]"),C124,INDIRECT(Hours[[#This Row],[table]]&amp;"[date]"),F124,INDIRECT(Hours[[#This Row],[table]]&amp;"[code]"),"m"),"")</f>
        <v>0</v>
      </c>
      <c r="N124" s="36">
        <f ca="1">IFERROR(SUMIFS(INDIRECT(Hours[[#This Row],[table]]&amp;"[real time]"),INDIRECT(Hours[[#This Row],[table]]&amp;"[employee]"),C124,INDIRECT(Hours[[#This Row],[table]]&amp;"[date]"),F124,INDIRECT(Hours[[#This Row],[table]]&amp;"[code]"),"e"),"")</f>
        <v>0</v>
      </c>
    </row>
    <row r="125" spans="1:14" x14ac:dyDescent="0.25">
      <c r="A125" s="28" t="s">
        <v>80</v>
      </c>
      <c r="B125" s="28" t="s">
        <v>81</v>
      </c>
      <c r="C125" s="1" t="s">
        <v>79</v>
      </c>
      <c r="D125" s="32" t="str">
        <f>IF(NOT(ISBLANK(Hours[[#This Row],[employee]])),IF(ISNUMBER(Hours[[#This Row],[employee]]),"REG","CON"),"")</f>
        <v>CON</v>
      </c>
      <c r="E125" s="32" t="str">
        <f>IF(Hours[[#This Row],[cat]]="CON","Contractors",IF(Hours[[#This Row],[cat]]="REG","Employees",""))</f>
        <v>Contractors</v>
      </c>
      <c r="F125" s="34">
        <v>44163</v>
      </c>
      <c r="G125" s="35">
        <v>0.2673611111111111</v>
      </c>
      <c r="H125" s="35">
        <v>0.625</v>
      </c>
      <c r="I125" s="29">
        <f>IF(H125&lt;G125,24+H125-G125,H125-G125)</f>
        <v>0.3576388888888889</v>
      </c>
      <c r="J125" s="36">
        <v>0.33333333333333331</v>
      </c>
      <c r="K125" s="36">
        <f ca="1">IFERROR(SUMIFS(INDIRECT(Hours[[#This Row],[table]]&amp;"[real time]"),INDIRECT(Hours[[#This Row],[table]]&amp;"[employee]"),C125,INDIRECT(Hours[[#This Row],[table]]&amp;"[date]"),F125),"")</f>
        <v>0</v>
      </c>
      <c r="L125" s="36">
        <f ca="1">IFERROR(SUM(SUMIFS(INDIRECT(Hours[[#This Row],[table]]&amp;"[real time]"),INDIRECT(Hours[[#This Row],[table]]&amp;"[employee]"),C125,INDIRECT(Hours[[#This Row],[table]]&amp;"[date]"),F125,INDIRECT(Hours[[#This Row],[table]]&amp;"[code]"),{"a","x",""})),"")</f>
        <v>0</v>
      </c>
      <c r="M125" s="36">
        <f ca="1">IFERROR(SUMIFS(INDIRECT(Hours[[#This Row],[table]]&amp;"[real time]"),INDIRECT(Hours[[#This Row],[table]]&amp;"[employee]"),C125,INDIRECT(Hours[[#This Row],[table]]&amp;"[date]"),F125,INDIRECT(Hours[[#This Row],[table]]&amp;"[code]"),"m"),"")</f>
        <v>0</v>
      </c>
      <c r="N125" s="36">
        <f ca="1">IFERROR(SUMIFS(INDIRECT(Hours[[#This Row],[table]]&amp;"[real time]"),INDIRECT(Hours[[#This Row],[table]]&amp;"[employee]"),C125,INDIRECT(Hours[[#This Row],[table]]&amp;"[date]"),F125,INDIRECT(Hours[[#This Row],[table]]&amp;"[code]"),"e"),"")</f>
        <v>0</v>
      </c>
    </row>
    <row r="126" spans="1:14" x14ac:dyDescent="0.25">
      <c r="A126" s="28" t="s">
        <v>80</v>
      </c>
      <c r="B126" s="28" t="s">
        <v>81</v>
      </c>
      <c r="C126" s="1" t="s">
        <v>79</v>
      </c>
      <c r="D126" s="32" t="str">
        <f>IF(NOT(ISBLANK(Hours[[#This Row],[employee]])),IF(ISNUMBER(Hours[[#This Row],[employee]]),"REG","CON"),"")</f>
        <v>CON</v>
      </c>
      <c r="E126" s="32" t="str">
        <f>IF(Hours[[#This Row],[cat]]="CON","Contractors",IF(Hours[[#This Row],[cat]]="REG","Employees",""))</f>
        <v>Contractors</v>
      </c>
      <c r="F126" s="34">
        <v>44164</v>
      </c>
      <c r="G126" s="35">
        <v>0.27083333333333331</v>
      </c>
      <c r="H126" s="35">
        <v>0.47916666666666669</v>
      </c>
      <c r="I126" s="29">
        <f>IF(H126&lt;G126,24+H126-G126,H126-G126)</f>
        <v>0.20833333333333337</v>
      </c>
      <c r="J126" s="36">
        <v>0.20833333333333334</v>
      </c>
      <c r="K126" s="36">
        <f ca="1">IFERROR(SUMIFS(INDIRECT(Hours[[#This Row],[table]]&amp;"[real time]"),INDIRECT(Hours[[#This Row],[table]]&amp;"[employee]"),C126,INDIRECT(Hours[[#This Row],[table]]&amp;"[date]"),F126),"")</f>
        <v>0</v>
      </c>
      <c r="L126" s="36">
        <f ca="1">IFERROR(SUM(SUMIFS(INDIRECT(Hours[[#This Row],[table]]&amp;"[real time]"),INDIRECT(Hours[[#This Row],[table]]&amp;"[employee]"),C126,INDIRECT(Hours[[#This Row],[table]]&amp;"[date]"),F126,INDIRECT(Hours[[#This Row],[table]]&amp;"[code]"),{"a","x",""})),"")</f>
        <v>0</v>
      </c>
      <c r="M126" s="36">
        <f ca="1">IFERROR(SUMIFS(INDIRECT(Hours[[#This Row],[table]]&amp;"[real time]"),INDIRECT(Hours[[#This Row],[table]]&amp;"[employee]"),C126,INDIRECT(Hours[[#This Row],[table]]&amp;"[date]"),F126,INDIRECT(Hours[[#This Row],[table]]&amp;"[code]"),"m"),"")</f>
        <v>0</v>
      </c>
      <c r="N126" s="36">
        <f ca="1">IFERROR(SUMIFS(INDIRECT(Hours[[#This Row],[table]]&amp;"[real time]"),INDIRECT(Hours[[#This Row],[table]]&amp;"[employee]"),C126,INDIRECT(Hours[[#This Row],[table]]&amp;"[date]"),F126,INDIRECT(Hours[[#This Row],[table]]&amp;"[code]"),"e"),"")</f>
        <v>0</v>
      </c>
    </row>
    <row r="127" spans="1:14" x14ac:dyDescent="0.25">
      <c r="A127" s="28" t="s">
        <v>80</v>
      </c>
      <c r="B127" s="28" t="s">
        <v>81</v>
      </c>
      <c r="C127" s="1" t="s">
        <v>79</v>
      </c>
      <c r="D127" s="32" t="str">
        <f>IF(NOT(ISBLANK(Hours[[#This Row],[employee]])),IF(ISNUMBER(Hours[[#This Row],[employee]]),"REG","CON"),"")</f>
        <v>CON</v>
      </c>
      <c r="E127" s="32" t="str">
        <f>IF(Hours[[#This Row],[cat]]="CON","Contractors",IF(Hours[[#This Row],[cat]]="REG","Employees",""))</f>
        <v>Contractors</v>
      </c>
      <c r="F127" s="34">
        <v>44165</v>
      </c>
      <c r="G127" s="35">
        <v>0.27013888888888887</v>
      </c>
      <c r="H127" s="35">
        <v>0.66666666666666663</v>
      </c>
      <c r="I127" s="29">
        <f>IF(H127&lt;G127,24+H127-G127,H127-G127)</f>
        <v>0.39652777777777776</v>
      </c>
      <c r="J127" s="36">
        <v>0.375</v>
      </c>
      <c r="K127" s="36">
        <f ca="1">IFERROR(SUMIFS(INDIRECT(Hours[[#This Row],[table]]&amp;"[real time]"),INDIRECT(Hours[[#This Row],[table]]&amp;"[employee]"),C127,INDIRECT(Hours[[#This Row],[table]]&amp;"[date]"),F127),"")</f>
        <v>0</v>
      </c>
      <c r="L127" s="36">
        <f ca="1">IFERROR(SUM(SUMIFS(INDIRECT(Hours[[#This Row],[table]]&amp;"[real time]"),INDIRECT(Hours[[#This Row],[table]]&amp;"[employee]"),C127,INDIRECT(Hours[[#This Row],[table]]&amp;"[date]"),F127,INDIRECT(Hours[[#This Row],[table]]&amp;"[code]"),{"a","x",""})),"")</f>
        <v>0</v>
      </c>
      <c r="M127" s="36">
        <f ca="1">IFERROR(SUMIFS(INDIRECT(Hours[[#This Row],[table]]&amp;"[real time]"),INDIRECT(Hours[[#This Row],[table]]&amp;"[employee]"),C127,INDIRECT(Hours[[#This Row],[table]]&amp;"[date]"),F127,INDIRECT(Hours[[#This Row],[table]]&amp;"[code]"),"m"),"")</f>
        <v>0</v>
      </c>
      <c r="N127" s="36">
        <f ca="1">IFERROR(SUMIFS(INDIRECT(Hours[[#This Row],[table]]&amp;"[real time]"),INDIRECT(Hours[[#This Row],[table]]&amp;"[employee]"),C127,INDIRECT(Hours[[#This Row],[table]]&amp;"[date]"),F127,INDIRECT(Hours[[#This Row],[table]]&amp;"[code]"),"e"),"")</f>
        <v>0</v>
      </c>
    </row>
    <row r="128" spans="1:14" x14ac:dyDescent="0.25">
      <c r="A128" s="28" t="s">
        <v>80</v>
      </c>
      <c r="B128" s="28" t="s">
        <v>81</v>
      </c>
      <c r="C128" s="1" t="s">
        <v>79</v>
      </c>
      <c r="D128" s="32" t="str">
        <f>IF(NOT(ISBLANK(Hours[[#This Row],[employee]])),IF(ISNUMBER(Hours[[#This Row],[employee]]),"REG","CON"),"")</f>
        <v>CON</v>
      </c>
      <c r="E128" s="32" t="str">
        <f>IF(Hours[[#This Row],[cat]]="CON","Contractors",IF(Hours[[#This Row],[cat]]="REG","Employees",""))</f>
        <v>Contractors</v>
      </c>
      <c r="F128" s="34">
        <v>44166</v>
      </c>
      <c r="G128" s="35">
        <v>0.27083333333333331</v>
      </c>
      <c r="H128" s="35">
        <v>0.66666666666666663</v>
      </c>
      <c r="I128" s="29">
        <f>IF(H128&lt;G128,24+H128-G128,H128-G128)</f>
        <v>0.39583333333333331</v>
      </c>
      <c r="J128" s="36">
        <v>0.375</v>
      </c>
      <c r="K128" s="36">
        <f ca="1">IFERROR(SUMIFS(INDIRECT(Hours[[#This Row],[table]]&amp;"[real time]"),INDIRECT(Hours[[#This Row],[table]]&amp;"[employee]"),C128,INDIRECT(Hours[[#This Row],[table]]&amp;"[date]"),F128),"")</f>
        <v>0</v>
      </c>
      <c r="L128" s="36">
        <f ca="1">IFERROR(SUM(SUMIFS(INDIRECT(Hours[[#This Row],[table]]&amp;"[real time]"),INDIRECT(Hours[[#This Row],[table]]&amp;"[employee]"),C128,INDIRECT(Hours[[#This Row],[table]]&amp;"[date]"),F128,INDIRECT(Hours[[#This Row],[table]]&amp;"[code]"),{"a","x",""})),"")</f>
        <v>0</v>
      </c>
      <c r="M128" s="36">
        <f ca="1">IFERROR(SUMIFS(INDIRECT(Hours[[#This Row],[table]]&amp;"[real time]"),INDIRECT(Hours[[#This Row],[table]]&amp;"[employee]"),C128,INDIRECT(Hours[[#This Row],[table]]&amp;"[date]"),F128,INDIRECT(Hours[[#This Row],[table]]&amp;"[code]"),"m"),"")</f>
        <v>0</v>
      </c>
      <c r="N128" s="36">
        <f ca="1">IFERROR(SUMIFS(INDIRECT(Hours[[#This Row],[table]]&amp;"[real time]"),INDIRECT(Hours[[#This Row],[table]]&amp;"[employee]"),C128,INDIRECT(Hours[[#This Row],[table]]&amp;"[date]"),F128,INDIRECT(Hours[[#This Row],[table]]&amp;"[code]"),"e"),"")</f>
        <v>0</v>
      </c>
    </row>
    <row r="129" spans="1:14" x14ac:dyDescent="0.25">
      <c r="A129" s="28" t="s">
        <v>80</v>
      </c>
      <c r="B129" s="28" t="s">
        <v>81</v>
      </c>
      <c r="C129" s="1" t="s">
        <v>79</v>
      </c>
      <c r="D129" s="32" t="str">
        <f>IF(NOT(ISBLANK(Hours[[#This Row],[employee]])),IF(ISNUMBER(Hours[[#This Row],[employee]]),"REG","CON"),"")</f>
        <v>CON</v>
      </c>
      <c r="E129" s="32" t="str">
        <f>IF(Hours[[#This Row],[cat]]="CON","Contractors",IF(Hours[[#This Row],[cat]]="REG","Employees",""))</f>
        <v>Contractors</v>
      </c>
      <c r="F129" s="34">
        <v>44167</v>
      </c>
      <c r="G129" s="35">
        <v>0.27083333333333331</v>
      </c>
      <c r="H129" s="35">
        <v>0.66736111111111107</v>
      </c>
      <c r="I129" s="29">
        <f>IF(H129&lt;G129,24+H129-G129,H129-G129)</f>
        <v>0.39652777777777776</v>
      </c>
      <c r="J129" s="36">
        <v>0.375</v>
      </c>
      <c r="K129" s="36">
        <f ca="1">IFERROR(SUMIFS(INDIRECT(Hours[[#This Row],[table]]&amp;"[real time]"),INDIRECT(Hours[[#This Row],[table]]&amp;"[employee]"),C129,INDIRECT(Hours[[#This Row],[table]]&amp;"[date]"),F129),"")</f>
        <v>0</v>
      </c>
      <c r="L129" s="36">
        <f ca="1">IFERROR(SUM(SUMIFS(INDIRECT(Hours[[#This Row],[table]]&amp;"[real time]"),INDIRECT(Hours[[#This Row],[table]]&amp;"[employee]"),C129,INDIRECT(Hours[[#This Row],[table]]&amp;"[date]"),F129,INDIRECT(Hours[[#This Row],[table]]&amp;"[code]"),{"a","x",""})),"")</f>
        <v>0</v>
      </c>
      <c r="M129" s="36">
        <f ca="1">IFERROR(SUMIFS(INDIRECT(Hours[[#This Row],[table]]&amp;"[real time]"),INDIRECT(Hours[[#This Row],[table]]&amp;"[employee]"),C129,INDIRECT(Hours[[#This Row],[table]]&amp;"[date]"),F129,INDIRECT(Hours[[#This Row],[table]]&amp;"[code]"),"m"),"")</f>
        <v>0</v>
      </c>
      <c r="N129" s="36">
        <f ca="1">IFERROR(SUMIFS(INDIRECT(Hours[[#This Row],[table]]&amp;"[real time]"),INDIRECT(Hours[[#This Row],[table]]&amp;"[employee]"),C129,INDIRECT(Hours[[#This Row],[table]]&amp;"[date]"),F129,INDIRECT(Hours[[#This Row],[table]]&amp;"[code]"),"e"),"")</f>
        <v>0</v>
      </c>
    </row>
    <row r="130" spans="1:14" x14ac:dyDescent="0.25">
      <c r="A130" s="28" t="s">
        <v>80</v>
      </c>
      <c r="B130" s="28" t="s">
        <v>81</v>
      </c>
      <c r="C130" s="1" t="s">
        <v>79</v>
      </c>
      <c r="D130" s="32" t="str">
        <f>IF(NOT(ISBLANK(Hours[[#This Row],[employee]])),IF(ISNUMBER(Hours[[#This Row],[employee]]),"REG","CON"),"")</f>
        <v>CON</v>
      </c>
      <c r="E130" s="32" t="str">
        <f>IF(Hours[[#This Row],[cat]]="CON","Contractors",IF(Hours[[#This Row],[cat]]="REG","Employees",""))</f>
        <v>Contractors</v>
      </c>
      <c r="F130" s="34">
        <v>44168</v>
      </c>
      <c r="G130" s="35">
        <v>0.27083333333333331</v>
      </c>
      <c r="H130" s="35">
        <v>0.67291666666666661</v>
      </c>
      <c r="I130" s="29">
        <f>IF(H130&lt;G130,24+H130-G130,H130-G130)</f>
        <v>0.40208333333333329</v>
      </c>
      <c r="J130" s="36">
        <v>0.375</v>
      </c>
      <c r="K130" s="36">
        <f ca="1">IFERROR(SUMIFS(INDIRECT(Hours[[#This Row],[table]]&amp;"[real time]"),INDIRECT(Hours[[#This Row],[table]]&amp;"[employee]"),C130,INDIRECT(Hours[[#This Row],[table]]&amp;"[date]"),F130),"")</f>
        <v>0</v>
      </c>
      <c r="L130" s="36">
        <f ca="1">IFERROR(SUM(SUMIFS(INDIRECT(Hours[[#This Row],[table]]&amp;"[real time]"),INDIRECT(Hours[[#This Row],[table]]&amp;"[employee]"),C130,INDIRECT(Hours[[#This Row],[table]]&amp;"[date]"),F130,INDIRECT(Hours[[#This Row],[table]]&amp;"[code]"),{"a","x",""})),"")</f>
        <v>0</v>
      </c>
      <c r="M130" s="36">
        <f ca="1">IFERROR(SUMIFS(INDIRECT(Hours[[#This Row],[table]]&amp;"[real time]"),INDIRECT(Hours[[#This Row],[table]]&amp;"[employee]"),C130,INDIRECT(Hours[[#This Row],[table]]&amp;"[date]"),F130,INDIRECT(Hours[[#This Row],[table]]&amp;"[code]"),"m"),"")</f>
        <v>0</v>
      </c>
      <c r="N130" s="36">
        <f ca="1">IFERROR(SUMIFS(INDIRECT(Hours[[#This Row],[table]]&amp;"[real time]"),INDIRECT(Hours[[#This Row],[table]]&amp;"[employee]"),C130,INDIRECT(Hours[[#This Row],[table]]&amp;"[date]"),F130,INDIRECT(Hours[[#This Row],[table]]&amp;"[code]"),"e"),"")</f>
        <v>0</v>
      </c>
    </row>
    <row r="131" spans="1:14" x14ac:dyDescent="0.25">
      <c r="A131" s="28" t="s">
        <v>80</v>
      </c>
      <c r="B131" s="28" t="s">
        <v>81</v>
      </c>
      <c r="C131" s="1" t="s">
        <v>79</v>
      </c>
      <c r="D131" s="32" t="str">
        <f>IF(NOT(ISBLANK(Hours[[#This Row],[employee]])),IF(ISNUMBER(Hours[[#This Row],[employee]]),"REG","CON"),"")</f>
        <v>CON</v>
      </c>
      <c r="E131" s="32" t="str">
        <f>IF(Hours[[#This Row],[cat]]="CON","Contractors",IF(Hours[[#This Row],[cat]]="REG","Employees",""))</f>
        <v>Contractors</v>
      </c>
      <c r="F131" s="34">
        <v>44169</v>
      </c>
      <c r="G131" s="35">
        <v>0.27083333333333331</v>
      </c>
      <c r="H131" s="35">
        <v>0.67569444444444438</v>
      </c>
      <c r="I131" s="29">
        <f>IF(H131&lt;G131,24+H131-G131,H131-G131)</f>
        <v>0.40486111111111106</v>
      </c>
      <c r="J131" s="36">
        <v>0.375</v>
      </c>
      <c r="K131" s="36">
        <f ca="1">IFERROR(SUMIFS(INDIRECT(Hours[[#This Row],[table]]&amp;"[real time]"),INDIRECT(Hours[[#This Row],[table]]&amp;"[employee]"),C131,INDIRECT(Hours[[#This Row],[table]]&amp;"[date]"),F131),"")</f>
        <v>0</v>
      </c>
      <c r="L131" s="36">
        <f ca="1">IFERROR(SUM(SUMIFS(INDIRECT(Hours[[#This Row],[table]]&amp;"[real time]"),INDIRECT(Hours[[#This Row],[table]]&amp;"[employee]"),C131,INDIRECT(Hours[[#This Row],[table]]&amp;"[date]"),F131,INDIRECT(Hours[[#This Row],[table]]&amp;"[code]"),{"a","x",""})),"")</f>
        <v>0</v>
      </c>
      <c r="M131" s="36">
        <f ca="1">IFERROR(SUMIFS(INDIRECT(Hours[[#This Row],[table]]&amp;"[real time]"),INDIRECT(Hours[[#This Row],[table]]&amp;"[employee]"),C131,INDIRECT(Hours[[#This Row],[table]]&amp;"[date]"),F131,INDIRECT(Hours[[#This Row],[table]]&amp;"[code]"),"m"),"")</f>
        <v>0</v>
      </c>
      <c r="N131" s="36">
        <f ca="1">IFERROR(SUMIFS(INDIRECT(Hours[[#This Row],[table]]&amp;"[real time]"),INDIRECT(Hours[[#This Row],[table]]&amp;"[employee]"),C131,INDIRECT(Hours[[#This Row],[table]]&amp;"[date]"),F131,INDIRECT(Hours[[#This Row],[table]]&amp;"[code]"),"e"),"")</f>
        <v>0</v>
      </c>
    </row>
    <row r="132" spans="1:14" x14ac:dyDescent="0.25">
      <c r="A132" s="28" t="s">
        <v>82</v>
      </c>
      <c r="B132" s="28" t="s">
        <v>83</v>
      </c>
      <c r="C132" s="1" t="s">
        <v>84</v>
      </c>
      <c r="D132" s="32" t="str">
        <f>IF(NOT(ISBLANK(Hours[[#This Row],[employee]])),IF(ISNUMBER(Hours[[#This Row],[employee]]),"REG","CON"),"")</f>
        <v>CON</v>
      </c>
      <c r="E132" s="32" t="str">
        <f>IF(Hours[[#This Row],[cat]]="CON","Contractors",IF(Hours[[#This Row],[cat]]="REG","Employees",""))</f>
        <v>Contractors</v>
      </c>
      <c r="F132" s="34">
        <v>44160</v>
      </c>
      <c r="G132" s="35">
        <v>0.67361111111111116</v>
      </c>
      <c r="H132" s="35">
        <v>8.3333333333333329E-2</v>
      </c>
      <c r="I132" s="29">
        <f>IF(H132&lt;G132,24+H132-G132,H132-G132)</f>
        <v>23.409722222222221</v>
      </c>
      <c r="J132" s="36">
        <v>0.375</v>
      </c>
      <c r="K132" s="36">
        <f ca="1">IFERROR(SUMIFS(INDIRECT(Hours[[#This Row],[table]]&amp;"[real time]"),INDIRECT(Hours[[#This Row],[table]]&amp;"[employee]"),C132,INDIRECT(Hours[[#This Row],[table]]&amp;"[date]"),F132),"")</f>
        <v>0</v>
      </c>
      <c r="L132" s="36">
        <f ca="1">IFERROR(SUM(SUMIFS(INDIRECT(Hours[[#This Row],[table]]&amp;"[real time]"),INDIRECT(Hours[[#This Row],[table]]&amp;"[employee]"),C132,INDIRECT(Hours[[#This Row],[table]]&amp;"[date]"),F132,INDIRECT(Hours[[#This Row],[table]]&amp;"[code]"),{"a","x",""})),"")</f>
        <v>0</v>
      </c>
      <c r="M132" s="36">
        <f ca="1">IFERROR(SUMIFS(INDIRECT(Hours[[#This Row],[table]]&amp;"[real time]"),INDIRECT(Hours[[#This Row],[table]]&amp;"[employee]"),C132,INDIRECT(Hours[[#This Row],[table]]&amp;"[date]"),F132,INDIRECT(Hours[[#This Row],[table]]&amp;"[code]"),"m"),"")</f>
        <v>0</v>
      </c>
      <c r="N132" s="36">
        <f ca="1">IFERROR(SUMIFS(INDIRECT(Hours[[#This Row],[table]]&amp;"[real time]"),INDIRECT(Hours[[#This Row],[table]]&amp;"[employee]"),C132,INDIRECT(Hours[[#This Row],[table]]&amp;"[date]"),F132,INDIRECT(Hours[[#This Row],[table]]&amp;"[code]"),"e"),"")</f>
        <v>0</v>
      </c>
    </row>
    <row r="133" spans="1:14" x14ac:dyDescent="0.25">
      <c r="A133" s="28" t="s">
        <v>82</v>
      </c>
      <c r="B133" s="28" t="s">
        <v>83</v>
      </c>
      <c r="C133" s="1" t="s">
        <v>84</v>
      </c>
      <c r="D133" s="32" t="str">
        <f>IF(NOT(ISBLANK(Hours[[#This Row],[employee]])),IF(ISNUMBER(Hours[[#This Row],[employee]]),"REG","CON"),"")</f>
        <v>CON</v>
      </c>
      <c r="E133" s="32" t="str">
        <f>IF(Hours[[#This Row],[cat]]="CON","Contractors",IF(Hours[[#This Row],[cat]]="REG","Employees",""))</f>
        <v>Contractors</v>
      </c>
      <c r="F133" s="34">
        <v>44161</v>
      </c>
      <c r="G133" s="35">
        <v>0.6743055555555556</v>
      </c>
      <c r="H133" s="35">
        <v>8.3333333333333329E-2</v>
      </c>
      <c r="I133" s="29">
        <f>IF(H133&lt;G133,24+H133-G133,H133-G133)</f>
        <v>23.409027777777776</v>
      </c>
      <c r="J133" s="36">
        <v>0.375</v>
      </c>
      <c r="K133" s="36">
        <f ca="1">IFERROR(SUMIFS(INDIRECT(Hours[[#This Row],[table]]&amp;"[real time]"),INDIRECT(Hours[[#This Row],[table]]&amp;"[employee]"),C133,INDIRECT(Hours[[#This Row],[table]]&amp;"[date]"),F133),"")</f>
        <v>0</v>
      </c>
      <c r="L133" s="36">
        <f ca="1">IFERROR(SUM(SUMIFS(INDIRECT(Hours[[#This Row],[table]]&amp;"[real time]"),INDIRECT(Hours[[#This Row],[table]]&amp;"[employee]"),C133,INDIRECT(Hours[[#This Row],[table]]&amp;"[date]"),F133,INDIRECT(Hours[[#This Row],[table]]&amp;"[code]"),{"a","x",""})),"")</f>
        <v>0</v>
      </c>
      <c r="M133" s="36">
        <f ca="1">IFERROR(SUMIFS(INDIRECT(Hours[[#This Row],[table]]&amp;"[real time]"),INDIRECT(Hours[[#This Row],[table]]&amp;"[employee]"),C133,INDIRECT(Hours[[#This Row],[table]]&amp;"[date]"),F133,INDIRECT(Hours[[#This Row],[table]]&amp;"[code]"),"m"),"")</f>
        <v>0</v>
      </c>
      <c r="N133" s="36">
        <f ca="1">IFERROR(SUMIFS(INDIRECT(Hours[[#This Row],[table]]&amp;"[real time]"),INDIRECT(Hours[[#This Row],[table]]&amp;"[employee]"),C133,INDIRECT(Hours[[#This Row],[table]]&amp;"[date]"),F133,INDIRECT(Hours[[#This Row],[table]]&amp;"[code]"),"e"),"")</f>
        <v>0</v>
      </c>
    </row>
    <row r="134" spans="1:14" x14ac:dyDescent="0.25">
      <c r="A134" s="28" t="s">
        <v>82</v>
      </c>
      <c r="B134" s="28" t="s">
        <v>83</v>
      </c>
      <c r="C134" s="1" t="s">
        <v>84</v>
      </c>
      <c r="D134" s="32" t="str">
        <f>IF(NOT(ISBLANK(Hours[[#This Row],[employee]])),IF(ISNUMBER(Hours[[#This Row],[employee]]),"REG","CON"),"")</f>
        <v>CON</v>
      </c>
      <c r="E134" s="32" t="str">
        <f>IF(Hours[[#This Row],[cat]]="CON","Contractors",IF(Hours[[#This Row],[cat]]="REG","Employees",""))</f>
        <v>Contractors</v>
      </c>
      <c r="F134" s="34">
        <v>44162</v>
      </c>
      <c r="G134" s="35">
        <v>0.67569444444444438</v>
      </c>
      <c r="H134" s="35">
        <v>4.1666666666666664E-2</v>
      </c>
      <c r="I134" s="29">
        <f>IF(H134&lt;G134,24+H134-G134,H134-G134)</f>
        <v>23.365972222222222</v>
      </c>
      <c r="J134" s="36">
        <v>0.33333333333333331</v>
      </c>
      <c r="K134" s="36">
        <f ca="1">IFERROR(SUMIFS(INDIRECT(Hours[[#This Row],[table]]&amp;"[real time]"),INDIRECT(Hours[[#This Row],[table]]&amp;"[employee]"),C134,INDIRECT(Hours[[#This Row],[table]]&amp;"[date]"),F134),"")</f>
        <v>0</v>
      </c>
      <c r="L134" s="36">
        <f ca="1">IFERROR(SUM(SUMIFS(INDIRECT(Hours[[#This Row],[table]]&amp;"[real time]"),INDIRECT(Hours[[#This Row],[table]]&amp;"[employee]"),C134,INDIRECT(Hours[[#This Row],[table]]&amp;"[date]"),F134,INDIRECT(Hours[[#This Row],[table]]&amp;"[code]"),{"a","x",""})),"")</f>
        <v>0</v>
      </c>
      <c r="M134" s="36">
        <f ca="1">IFERROR(SUMIFS(INDIRECT(Hours[[#This Row],[table]]&amp;"[real time]"),INDIRECT(Hours[[#This Row],[table]]&amp;"[employee]"),C134,INDIRECT(Hours[[#This Row],[table]]&amp;"[date]"),F134,INDIRECT(Hours[[#This Row],[table]]&amp;"[code]"),"m"),"")</f>
        <v>0</v>
      </c>
      <c r="N134" s="36">
        <f ca="1">IFERROR(SUMIFS(INDIRECT(Hours[[#This Row],[table]]&amp;"[real time]"),INDIRECT(Hours[[#This Row],[table]]&amp;"[employee]"),C134,INDIRECT(Hours[[#This Row],[table]]&amp;"[date]"),F134,INDIRECT(Hours[[#This Row],[table]]&amp;"[code]"),"e"),"")</f>
        <v>0</v>
      </c>
    </row>
    <row r="135" spans="1:14" x14ac:dyDescent="0.25">
      <c r="A135" s="28" t="s">
        <v>82</v>
      </c>
      <c r="B135" s="28" t="s">
        <v>83</v>
      </c>
      <c r="C135" s="1" t="s">
        <v>84</v>
      </c>
      <c r="D135" s="32" t="str">
        <f>IF(NOT(ISBLANK(Hours[[#This Row],[employee]])),IF(ISNUMBER(Hours[[#This Row],[employee]]),"REG","CON"),"")</f>
        <v>CON</v>
      </c>
      <c r="E135" s="32" t="str">
        <f>IF(Hours[[#This Row],[cat]]="CON","Contractors",IF(Hours[[#This Row],[cat]]="REG","Employees",""))</f>
        <v>Contractors</v>
      </c>
      <c r="F135" s="34">
        <v>44164</v>
      </c>
      <c r="G135" s="35">
        <v>0.26041666666666669</v>
      </c>
      <c r="H135" s="35">
        <v>0.58333333333333337</v>
      </c>
      <c r="I135" s="29">
        <f>IF(H135&lt;G135,24+H135-G135,H135-G135)</f>
        <v>0.32291666666666669</v>
      </c>
      <c r="J135" s="36">
        <v>0.29166666666666669</v>
      </c>
      <c r="K135" s="36">
        <f ca="1">IFERROR(SUMIFS(INDIRECT(Hours[[#This Row],[table]]&amp;"[real time]"),INDIRECT(Hours[[#This Row],[table]]&amp;"[employee]"),C135,INDIRECT(Hours[[#This Row],[table]]&amp;"[date]"),F135),"")</f>
        <v>0</v>
      </c>
      <c r="L135" s="36">
        <f ca="1">IFERROR(SUM(SUMIFS(INDIRECT(Hours[[#This Row],[table]]&amp;"[real time]"),INDIRECT(Hours[[#This Row],[table]]&amp;"[employee]"),C135,INDIRECT(Hours[[#This Row],[table]]&amp;"[date]"),F135,INDIRECT(Hours[[#This Row],[table]]&amp;"[code]"),{"a","x",""})),"")</f>
        <v>0</v>
      </c>
      <c r="M135" s="36">
        <f ca="1">IFERROR(SUMIFS(INDIRECT(Hours[[#This Row],[table]]&amp;"[real time]"),INDIRECT(Hours[[#This Row],[table]]&amp;"[employee]"),C135,INDIRECT(Hours[[#This Row],[table]]&amp;"[date]"),F135,INDIRECT(Hours[[#This Row],[table]]&amp;"[code]"),"m"),"")</f>
        <v>0</v>
      </c>
      <c r="N135" s="36">
        <f ca="1">IFERROR(SUMIFS(INDIRECT(Hours[[#This Row],[table]]&amp;"[real time]"),INDIRECT(Hours[[#This Row],[table]]&amp;"[employee]"),C135,INDIRECT(Hours[[#This Row],[table]]&amp;"[date]"),F135,INDIRECT(Hours[[#This Row],[table]]&amp;"[code]"),"e"),"")</f>
        <v>0</v>
      </c>
    </row>
    <row r="136" spans="1:14" x14ac:dyDescent="0.25">
      <c r="A136" s="28" t="s">
        <v>82</v>
      </c>
      <c r="B136" s="28" t="s">
        <v>83</v>
      </c>
      <c r="C136" s="1" t="s">
        <v>84</v>
      </c>
      <c r="D136" s="32" t="str">
        <f>IF(NOT(ISBLANK(Hours[[#This Row],[employee]])),IF(ISNUMBER(Hours[[#This Row],[employee]]),"REG","CON"),"")</f>
        <v>CON</v>
      </c>
      <c r="E136" s="32" t="str">
        <f>IF(Hours[[#This Row],[cat]]="CON","Contractors",IF(Hours[[#This Row],[cat]]="REG","Employees",""))</f>
        <v>Contractors</v>
      </c>
      <c r="F136" s="34">
        <v>44165</v>
      </c>
      <c r="G136" s="35">
        <v>0.67222222222222217</v>
      </c>
      <c r="H136" s="35">
        <v>8.3333333333333329E-2</v>
      </c>
      <c r="I136" s="29">
        <f>IF(H136&lt;G136,24+H136-G136,H136-G136)</f>
        <v>23.411111111111111</v>
      </c>
      <c r="J136" s="36">
        <v>0.375</v>
      </c>
      <c r="K136" s="36">
        <f ca="1">IFERROR(SUMIFS(INDIRECT(Hours[[#This Row],[table]]&amp;"[real time]"),INDIRECT(Hours[[#This Row],[table]]&amp;"[employee]"),C136,INDIRECT(Hours[[#This Row],[table]]&amp;"[date]"),F136),"")</f>
        <v>0</v>
      </c>
      <c r="L136" s="36">
        <f ca="1">IFERROR(SUM(SUMIFS(INDIRECT(Hours[[#This Row],[table]]&amp;"[real time]"),INDIRECT(Hours[[#This Row],[table]]&amp;"[employee]"),C136,INDIRECT(Hours[[#This Row],[table]]&amp;"[date]"),F136,INDIRECT(Hours[[#This Row],[table]]&amp;"[code]"),{"a","x",""})),"")</f>
        <v>0</v>
      </c>
      <c r="M136" s="36">
        <f ca="1">IFERROR(SUMIFS(INDIRECT(Hours[[#This Row],[table]]&amp;"[real time]"),INDIRECT(Hours[[#This Row],[table]]&amp;"[employee]"),C136,INDIRECT(Hours[[#This Row],[table]]&amp;"[date]"),F136,INDIRECT(Hours[[#This Row],[table]]&amp;"[code]"),"m"),"")</f>
        <v>0</v>
      </c>
      <c r="N136" s="36">
        <f ca="1">IFERROR(SUMIFS(INDIRECT(Hours[[#This Row],[table]]&amp;"[real time]"),INDIRECT(Hours[[#This Row],[table]]&amp;"[employee]"),C136,INDIRECT(Hours[[#This Row],[table]]&amp;"[date]"),F136,INDIRECT(Hours[[#This Row],[table]]&amp;"[code]"),"e"),"")</f>
        <v>0</v>
      </c>
    </row>
    <row r="137" spans="1:14" x14ac:dyDescent="0.25">
      <c r="A137" s="28" t="s">
        <v>82</v>
      </c>
      <c r="B137" s="28" t="s">
        <v>83</v>
      </c>
      <c r="C137" s="1" t="s">
        <v>84</v>
      </c>
      <c r="D137" s="32" t="str">
        <f>IF(NOT(ISBLANK(Hours[[#This Row],[employee]])),IF(ISNUMBER(Hours[[#This Row],[employee]]),"REG","CON"),"")</f>
        <v>CON</v>
      </c>
      <c r="E137" s="32" t="str">
        <f>IF(Hours[[#This Row],[cat]]="CON","Contractors",IF(Hours[[#This Row],[cat]]="REG","Employees",""))</f>
        <v>Contractors</v>
      </c>
      <c r="F137" s="34">
        <v>44166</v>
      </c>
      <c r="G137" s="35">
        <v>0.67361111111111116</v>
      </c>
      <c r="H137" s="35">
        <v>8.3333333333333329E-2</v>
      </c>
      <c r="I137" s="29">
        <f>IF(H137&lt;G137,24+H137-G137,H137-G137)</f>
        <v>23.409722222222221</v>
      </c>
      <c r="J137" s="36">
        <v>0.375</v>
      </c>
      <c r="K137" s="36">
        <f ca="1">IFERROR(SUMIFS(INDIRECT(Hours[[#This Row],[table]]&amp;"[real time]"),INDIRECT(Hours[[#This Row],[table]]&amp;"[employee]"),C137,INDIRECT(Hours[[#This Row],[table]]&amp;"[date]"),F137),"")</f>
        <v>0</v>
      </c>
      <c r="L137" s="36">
        <f ca="1">IFERROR(SUM(SUMIFS(INDIRECT(Hours[[#This Row],[table]]&amp;"[real time]"),INDIRECT(Hours[[#This Row],[table]]&amp;"[employee]"),C137,INDIRECT(Hours[[#This Row],[table]]&amp;"[date]"),F137,INDIRECT(Hours[[#This Row],[table]]&amp;"[code]"),{"a","x",""})),"")</f>
        <v>0</v>
      </c>
      <c r="M137" s="36">
        <f ca="1">IFERROR(SUMIFS(INDIRECT(Hours[[#This Row],[table]]&amp;"[real time]"),INDIRECT(Hours[[#This Row],[table]]&amp;"[employee]"),C137,INDIRECT(Hours[[#This Row],[table]]&amp;"[date]"),F137,INDIRECT(Hours[[#This Row],[table]]&amp;"[code]"),"m"),"")</f>
        <v>0</v>
      </c>
      <c r="N137" s="36">
        <f ca="1">IFERROR(SUMIFS(INDIRECT(Hours[[#This Row],[table]]&amp;"[real time]"),INDIRECT(Hours[[#This Row],[table]]&amp;"[employee]"),C137,INDIRECT(Hours[[#This Row],[table]]&amp;"[date]"),F137,INDIRECT(Hours[[#This Row],[table]]&amp;"[code]"),"e"),"")</f>
        <v>0</v>
      </c>
    </row>
    <row r="138" spans="1:14" x14ac:dyDescent="0.25">
      <c r="A138" s="28" t="s">
        <v>82</v>
      </c>
      <c r="B138" s="28" t="s">
        <v>83</v>
      </c>
      <c r="C138" s="1" t="s">
        <v>84</v>
      </c>
      <c r="D138" s="32" t="str">
        <f>IF(NOT(ISBLANK(Hours[[#This Row],[employee]])),IF(ISNUMBER(Hours[[#This Row],[employee]]),"REG","CON"),"")</f>
        <v>CON</v>
      </c>
      <c r="E138" s="32" t="str">
        <f>IF(Hours[[#This Row],[cat]]="CON","Contractors",IF(Hours[[#This Row],[cat]]="REG","Employees",""))</f>
        <v>Contractors</v>
      </c>
      <c r="F138" s="34">
        <v>44167</v>
      </c>
      <c r="G138" s="35">
        <v>0.67291666666666661</v>
      </c>
      <c r="H138" s="35">
        <v>8.3333333333333329E-2</v>
      </c>
      <c r="I138" s="29">
        <f>IF(H138&lt;G138,24+H138-G138,H138-G138)</f>
        <v>23.410416666666666</v>
      </c>
      <c r="J138" s="36">
        <v>0.375</v>
      </c>
      <c r="K138" s="36">
        <f ca="1">IFERROR(SUMIFS(INDIRECT(Hours[[#This Row],[table]]&amp;"[real time]"),INDIRECT(Hours[[#This Row],[table]]&amp;"[employee]"),C138,INDIRECT(Hours[[#This Row],[table]]&amp;"[date]"),F138),"")</f>
        <v>0</v>
      </c>
      <c r="L138" s="36">
        <f ca="1">IFERROR(SUM(SUMIFS(INDIRECT(Hours[[#This Row],[table]]&amp;"[real time]"),INDIRECT(Hours[[#This Row],[table]]&amp;"[employee]"),C138,INDIRECT(Hours[[#This Row],[table]]&amp;"[date]"),F138,INDIRECT(Hours[[#This Row],[table]]&amp;"[code]"),{"a","x",""})),"")</f>
        <v>0</v>
      </c>
      <c r="M138" s="36">
        <f ca="1">IFERROR(SUMIFS(INDIRECT(Hours[[#This Row],[table]]&amp;"[real time]"),INDIRECT(Hours[[#This Row],[table]]&amp;"[employee]"),C138,INDIRECT(Hours[[#This Row],[table]]&amp;"[date]"),F138,INDIRECT(Hours[[#This Row],[table]]&amp;"[code]"),"m"),"")</f>
        <v>0</v>
      </c>
      <c r="N138" s="36">
        <f ca="1">IFERROR(SUMIFS(INDIRECT(Hours[[#This Row],[table]]&amp;"[real time]"),INDIRECT(Hours[[#This Row],[table]]&amp;"[employee]"),C138,INDIRECT(Hours[[#This Row],[table]]&amp;"[date]"),F138,INDIRECT(Hours[[#This Row],[table]]&amp;"[code]"),"e"),"")</f>
        <v>0</v>
      </c>
    </row>
    <row r="139" spans="1:14" x14ac:dyDescent="0.25">
      <c r="A139" s="28" t="s">
        <v>82</v>
      </c>
      <c r="B139" s="28" t="s">
        <v>83</v>
      </c>
      <c r="C139" s="1" t="s">
        <v>84</v>
      </c>
      <c r="D139" s="32" t="str">
        <f>IF(NOT(ISBLANK(Hours[[#This Row],[employee]])),IF(ISNUMBER(Hours[[#This Row],[employee]]),"REG","CON"),"")</f>
        <v>CON</v>
      </c>
      <c r="E139" s="32" t="str">
        <f>IF(Hours[[#This Row],[cat]]="CON","Contractors",IF(Hours[[#This Row],[cat]]="REG","Employees",""))</f>
        <v>Contractors</v>
      </c>
      <c r="F139" s="34">
        <v>44168</v>
      </c>
      <c r="G139" s="35">
        <v>0.67361111111111116</v>
      </c>
      <c r="H139" s="35">
        <v>8.3333333333333329E-2</v>
      </c>
      <c r="I139" s="29">
        <f>IF(H139&lt;G139,24+H139-G139,H139-G139)</f>
        <v>23.409722222222221</v>
      </c>
      <c r="J139" s="36">
        <v>0.375</v>
      </c>
      <c r="K139" s="36">
        <f ca="1">IFERROR(SUMIFS(INDIRECT(Hours[[#This Row],[table]]&amp;"[real time]"),INDIRECT(Hours[[#This Row],[table]]&amp;"[employee]"),C139,INDIRECT(Hours[[#This Row],[table]]&amp;"[date]"),F139),"")</f>
        <v>0</v>
      </c>
      <c r="L139" s="36">
        <f ca="1">IFERROR(SUM(SUMIFS(INDIRECT(Hours[[#This Row],[table]]&amp;"[real time]"),INDIRECT(Hours[[#This Row],[table]]&amp;"[employee]"),C139,INDIRECT(Hours[[#This Row],[table]]&amp;"[date]"),F139,INDIRECT(Hours[[#This Row],[table]]&amp;"[code]"),{"a","x",""})),"")</f>
        <v>0</v>
      </c>
      <c r="M139" s="36">
        <f ca="1">IFERROR(SUMIFS(INDIRECT(Hours[[#This Row],[table]]&amp;"[real time]"),INDIRECT(Hours[[#This Row],[table]]&amp;"[employee]"),C139,INDIRECT(Hours[[#This Row],[table]]&amp;"[date]"),F139,INDIRECT(Hours[[#This Row],[table]]&amp;"[code]"),"m"),"")</f>
        <v>0</v>
      </c>
      <c r="N139" s="36">
        <f ca="1">IFERROR(SUMIFS(INDIRECT(Hours[[#This Row],[table]]&amp;"[real time]"),INDIRECT(Hours[[#This Row],[table]]&amp;"[employee]"),C139,INDIRECT(Hours[[#This Row],[table]]&amp;"[date]"),F139,INDIRECT(Hours[[#This Row],[table]]&amp;"[code]"),"e"),"")</f>
        <v>0</v>
      </c>
    </row>
    <row r="140" spans="1:14" x14ac:dyDescent="0.25">
      <c r="A140" s="28" t="s">
        <v>82</v>
      </c>
      <c r="B140" s="28" t="s">
        <v>83</v>
      </c>
      <c r="C140" s="1" t="s">
        <v>84</v>
      </c>
      <c r="D140" s="32" t="str">
        <f>IF(NOT(ISBLANK(Hours[[#This Row],[employee]])),IF(ISNUMBER(Hours[[#This Row],[employee]]),"REG","CON"),"")</f>
        <v>CON</v>
      </c>
      <c r="E140" s="32" t="str">
        <f>IF(Hours[[#This Row],[cat]]="CON","Contractors",IF(Hours[[#This Row],[cat]]="REG","Employees",""))</f>
        <v>Contractors</v>
      </c>
      <c r="F140" s="34">
        <v>44169</v>
      </c>
      <c r="G140" s="35">
        <v>0.67499999999999993</v>
      </c>
      <c r="H140" s="35">
        <v>4.1666666666666664E-2</v>
      </c>
      <c r="I140" s="29">
        <f>IF(H140&lt;G140,24+H140-G140,H140-G140)</f>
        <v>23.366666666666667</v>
      </c>
      <c r="J140" s="36">
        <v>0.33333333333333331</v>
      </c>
      <c r="K140" s="36">
        <f ca="1">IFERROR(SUMIFS(INDIRECT(Hours[[#This Row],[table]]&amp;"[real time]"),INDIRECT(Hours[[#This Row],[table]]&amp;"[employee]"),C140,INDIRECT(Hours[[#This Row],[table]]&amp;"[date]"),F140),"")</f>
        <v>0</v>
      </c>
      <c r="L140" s="36">
        <f ca="1">IFERROR(SUM(SUMIFS(INDIRECT(Hours[[#This Row],[table]]&amp;"[real time]"),INDIRECT(Hours[[#This Row],[table]]&amp;"[employee]"),C140,INDIRECT(Hours[[#This Row],[table]]&amp;"[date]"),F140,INDIRECT(Hours[[#This Row],[table]]&amp;"[code]"),{"a","x",""})),"")</f>
        <v>0</v>
      </c>
      <c r="M140" s="36">
        <f ca="1">IFERROR(SUMIFS(INDIRECT(Hours[[#This Row],[table]]&amp;"[real time]"),INDIRECT(Hours[[#This Row],[table]]&amp;"[employee]"),C140,INDIRECT(Hours[[#This Row],[table]]&amp;"[date]"),F140,INDIRECT(Hours[[#This Row],[table]]&amp;"[code]"),"m"),"")</f>
        <v>0</v>
      </c>
      <c r="N140" s="36">
        <f ca="1">IFERROR(SUMIFS(INDIRECT(Hours[[#This Row],[table]]&amp;"[real time]"),INDIRECT(Hours[[#This Row],[table]]&amp;"[employee]"),C140,INDIRECT(Hours[[#This Row],[table]]&amp;"[date]"),F140,INDIRECT(Hours[[#This Row],[table]]&amp;"[code]"),"e"),"")</f>
        <v>0</v>
      </c>
    </row>
    <row r="141" spans="1:14" x14ac:dyDescent="0.25">
      <c r="A141" s="28" t="s">
        <v>85</v>
      </c>
      <c r="B141" s="28" t="s">
        <v>86</v>
      </c>
      <c r="C141" s="1" t="s">
        <v>87</v>
      </c>
      <c r="D141" s="32" t="str">
        <f>IF(NOT(ISBLANK(Hours[[#This Row],[employee]])),IF(ISNUMBER(Hours[[#This Row],[employee]]),"REG","CON"),"")</f>
        <v>CON</v>
      </c>
      <c r="E141" s="32" t="str">
        <f>IF(Hours[[#This Row],[cat]]="CON","Contractors",IF(Hours[[#This Row],[cat]]="REG","Employees",""))</f>
        <v>Contractors</v>
      </c>
      <c r="F141" s="34">
        <v>44161</v>
      </c>
      <c r="G141" s="35">
        <v>0.26250000000000001</v>
      </c>
      <c r="H141" s="35">
        <v>0.66666666666666663</v>
      </c>
      <c r="I141" s="29">
        <f>IF(H141&lt;G141,24+H141-G141,H141-G141)</f>
        <v>0.40416666666666662</v>
      </c>
      <c r="J141" s="36">
        <v>0.375</v>
      </c>
      <c r="K141" s="36">
        <f ca="1">IFERROR(SUMIFS(INDIRECT(Hours[[#This Row],[table]]&amp;"[real time]"),INDIRECT(Hours[[#This Row],[table]]&amp;"[employee]"),C141,INDIRECT(Hours[[#This Row],[table]]&amp;"[date]"),F141),"")</f>
        <v>0</v>
      </c>
      <c r="L141" s="36">
        <f ca="1">IFERROR(SUM(SUMIFS(INDIRECT(Hours[[#This Row],[table]]&amp;"[real time]"),INDIRECT(Hours[[#This Row],[table]]&amp;"[employee]"),C141,INDIRECT(Hours[[#This Row],[table]]&amp;"[date]"),F141,INDIRECT(Hours[[#This Row],[table]]&amp;"[code]"),{"a","x",""})),"")</f>
        <v>0</v>
      </c>
      <c r="M141" s="36">
        <f ca="1">IFERROR(SUMIFS(INDIRECT(Hours[[#This Row],[table]]&amp;"[real time]"),INDIRECT(Hours[[#This Row],[table]]&amp;"[employee]"),C141,INDIRECT(Hours[[#This Row],[table]]&amp;"[date]"),F141,INDIRECT(Hours[[#This Row],[table]]&amp;"[code]"),"m"),"")</f>
        <v>0</v>
      </c>
      <c r="N141" s="36">
        <f ca="1">IFERROR(SUMIFS(INDIRECT(Hours[[#This Row],[table]]&amp;"[real time]"),INDIRECT(Hours[[#This Row],[table]]&amp;"[employee]"),C141,INDIRECT(Hours[[#This Row],[table]]&amp;"[date]"),F141,INDIRECT(Hours[[#This Row],[table]]&amp;"[code]"),"e"),"")</f>
        <v>0</v>
      </c>
    </row>
    <row r="142" spans="1:14" x14ac:dyDescent="0.25">
      <c r="A142" s="28" t="s">
        <v>85</v>
      </c>
      <c r="B142" s="28" t="s">
        <v>86</v>
      </c>
      <c r="C142" s="1" t="s">
        <v>87</v>
      </c>
      <c r="D142" s="32" t="str">
        <f>IF(NOT(ISBLANK(Hours[[#This Row],[employee]])),IF(ISNUMBER(Hours[[#This Row],[employee]]),"REG","CON"),"")</f>
        <v>CON</v>
      </c>
      <c r="E142" s="32" t="str">
        <f>IF(Hours[[#This Row],[cat]]="CON","Contractors",IF(Hours[[#This Row],[cat]]="REG","Employees",""))</f>
        <v>Contractors</v>
      </c>
      <c r="F142" s="34">
        <v>44162</v>
      </c>
      <c r="G142" s="35">
        <v>0.26250000000000001</v>
      </c>
      <c r="H142" s="35">
        <v>0.66666666666666663</v>
      </c>
      <c r="I142" s="29">
        <f>IF(H142&lt;G142,24+H142-G142,H142-G142)</f>
        <v>0.40416666666666662</v>
      </c>
      <c r="J142" s="36">
        <v>0.375</v>
      </c>
      <c r="K142" s="36">
        <f ca="1">IFERROR(SUMIFS(INDIRECT(Hours[[#This Row],[table]]&amp;"[real time]"),INDIRECT(Hours[[#This Row],[table]]&amp;"[employee]"),C142,INDIRECT(Hours[[#This Row],[table]]&amp;"[date]"),F142),"")</f>
        <v>0</v>
      </c>
      <c r="L142" s="36">
        <f ca="1">IFERROR(SUM(SUMIFS(INDIRECT(Hours[[#This Row],[table]]&amp;"[real time]"),INDIRECT(Hours[[#This Row],[table]]&amp;"[employee]"),C142,INDIRECT(Hours[[#This Row],[table]]&amp;"[date]"),F142,INDIRECT(Hours[[#This Row],[table]]&amp;"[code]"),{"a","x",""})),"")</f>
        <v>0</v>
      </c>
      <c r="M142" s="36">
        <f ca="1">IFERROR(SUMIFS(INDIRECT(Hours[[#This Row],[table]]&amp;"[real time]"),INDIRECT(Hours[[#This Row],[table]]&amp;"[employee]"),C142,INDIRECT(Hours[[#This Row],[table]]&amp;"[date]"),F142,INDIRECT(Hours[[#This Row],[table]]&amp;"[code]"),"m"),"")</f>
        <v>0</v>
      </c>
      <c r="N142" s="36">
        <f ca="1">IFERROR(SUMIFS(INDIRECT(Hours[[#This Row],[table]]&amp;"[real time]"),INDIRECT(Hours[[#This Row],[table]]&amp;"[employee]"),C142,INDIRECT(Hours[[#This Row],[table]]&amp;"[date]"),F142,INDIRECT(Hours[[#This Row],[table]]&amp;"[code]"),"e"),"")</f>
        <v>0</v>
      </c>
    </row>
    <row r="143" spans="1:14" x14ac:dyDescent="0.25">
      <c r="A143" s="28" t="s">
        <v>85</v>
      </c>
      <c r="B143" s="28" t="s">
        <v>86</v>
      </c>
      <c r="C143" s="1" t="s">
        <v>87</v>
      </c>
      <c r="D143" s="32" t="str">
        <f>IF(NOT(ISBLANK(Hours[[#This Row],[employee]])),IF(ISNUMBER(Hours[[#This Row],[employee]]),"REG","CON"),"")</f>
        <v>CON</v>
      </c>
      <c r="E143" s="32" t="str">
        <f>IF(Hours[[#This Row],[cat]]="CON","Contractors",IF(Hours[[#This Row],[cat]]="REG","Employees",""))</f>
        <v>Contractors</v>
      </c>
      <c r="F143" s="34">
        <v>44163</v>
      </c>
      <c r="G143" s="35">
        <v>0.2638888888888889</v>
      </c>
      <c r="H143" s="35">
        <v>0.625</v>
      </c>
      <c r="I143" s="29">
        <f>IF(H143&lt;G143,24+H143-G143,H143-G143)</f>
        <v>0.3611111111111111</v>
      </c>
      <c r="J143" s="36">
        <v>0.33333333333333331</v>
      </c>
      <c r="K143" s="36">
        <f ca="1">IFERROR(SUMIFS(INDIRECT(Hours[[#This Row],[table]]&amp;"[real time]"),INDIRECT(Hours[[#This Row],[table]]&amp;"[employee]"),C143,INDIRECT(Hours[[#This Row],[table]]&amp;"[date]"),F143),"")</f>
        <v>0</v>
      </c>
      <c r="L143" s="36">
        <f ca="1">IFERROR(SUM(SUMIFS(INDIRECT(Hours[[#This Row],[table]]&amp;"[real time]"),INDIRECT(Hours[[#This Row],[table]]&amp;"[employee]"),C143,INDIRECT(Hours[[#This Row],[table]]&amp;"[date]"),F143,INDIRECT(Hours[[#This Row],[table]]&amp;"[code]"),{"a","x",""})),"")</f>
        <v>0</v>
      </c>
      <c r="M143" s="36">
        <f ca="1">IFERROR(SUMIFS(INDIRECT(Hours[[#This Row],[table]]&amp;"[real time]"),INDIRECT(Hours[[#This Row],[table]]&amp;"[employee]"),C143,INDIRECT(Hours[[#This Row],[table]]&amp;"[date]"),F143,INDIRECT(Hours[[#This Row],[table]]&amp;"[code]"),"m"),"")</f>
        <v>0</v>
      </c>
      <c r="N143" s="36">
        <f ca="1">IFERROR(SUMIFS(INDIRECT(Hours[[#This Row],[table]]&amp;"[real time]"),INDIRECT(Hours[[#This Row],[table]]&amp;"[employee]"),C143,INDIRECT(Hours[[#This Row],[table]]&amp;"[date]"),F143,INDIRECT(Hours[[#This Row],[table]]&amp;"[code]"),"e"),"")</f>
        <v>0</v>
      </c>
    </row>
    <row r="144" spans="1:14" x14ac:dyDescent="0.25">
      <c r="A144" s="28" t="s">
        <v>85</v>
      </c>
      <c r="B144" s="28" t="s">
        <v>86</v>
      </c>
      <c r="C144" s="1" t="s">
        <v>87</v>
      </c>
      <c r="D144" s="32" t="str">
        <f>IF(NOT(ISBLANK(Hours[[#This Row],[employee]])),IF(ISNUMBER(Hours[[#This Row],[employee]]),"REG","CON"),"")</f>
        <v>CON</v>
      </c>
      <c r="E144" s="32" t="str">
        <f>IF(Hours[[#This Row],[cat]]="CON","Contractors",IF(Hours[[#This Row],[cat]]="REG","Employees",""))</f>
        <v>Contractors</v>
      </c>
      <c r="F144" s="34">
        <v>44164</v>
      </c>
      <c r="G144" s="35">
        <v>0.26250000000000001</v>
      </c>
      <c r="H144" s="35">
        <v>0.47916666666666669</v>
      </c>
      <c r="I144" s="29">
        <f>IF(H144&lt;G144,24+H144-G144,H144-G144)</f>
        <v>0.21666666666666667</v>
      </c>
      <c r="J144" s="36">
        <v>0.20833333333333334</v>
      </c>
      <c r="K144" s="36">
        <f ca="1">IFERROR(SUMIFS(INDIRECT(Hours[[#This Row],[table]]&amp;"[real time]"),INDIRECT(Hours[[#This Row],[table]]&amp;"[employee]"),C144,INDIRECT(Hours[[#This Row],[table]]&amp;"[date]"),F144),"")</f>
        <v>0</v>
      </c>
      <c r="L144" s="36">
        <f ca="1">IFERROR(SUM(SUMIFS(INDIRECT(Hours[[#This Row],[table]]&amp;"[real time]"),INDIRECT(Hours[[#This Row],[table]]&amp;"[employee]"),C144,INDIRECT(Hours[[#This Row],[table]]&amp;"[date]"),F144,INDIRECT(Hours[[#This Row],[table]]&amp;"[code]"),{"a","x",""})),"")</f>
        <v>0</v>
      </c>
      <c r="M144" s="36">
        <f ca="1">IFERROR(SUMIFS(INDIRECT(Hours[[#This Row],[table]]&amp;"[real time]"),INDIRECT(Hours[[#This Row],[table]]&amp;"[employee]"),C144,INDIRECT(Hours[[#This Row],[table]]&amp;"[date]"),F144,INDIRECT(Hours[[#This Row],[table]]&amp;"[code]"),"m"),"")</f>
        <v>0</v>
      </c>
      <c r="N144" s="36">
        <f ca="1">IFERROR(SUMIFS(INDIRECT(Hours[[#This Row],[table]]&amp;"[real time]"),INDIRECT(Hours[[#This Row],[table]]&amp;"[employee]"),C144,INDIRECT(Hours[[#This Row],[table]]&amp;"[date]"),F144,INDIRECT(Hours[[#This Row],[table]]&amp;"[code]"),"e"),"")</f>
        <v>0</v>
      </c>
    </row>
    <row r="145" spans="1:14" x14ac:dyDescent="0.25">
      <c r="A145" s="28" t="s">
        <v>85</v>
      </c>
      <c r="B145" s="28" t="s">
        <v>86</v>
      </c>
      <c r="C145" s="1" t="s">
        <v>87</v>
      </c>
      <c r="D145" s="32" t="str">
        <f>IF(NOT(ISBLANK(Hours[[#This Row],[employee]])),IF(ISNUMBER(Hours[[#This Row],[employee]]),"REG","CON"),"")</f>
        <v>CON</v>
      </c>
      <c r="E145" s="32" t="str">
        <f>IF(Hours[[#This Row],[cat]]="CON","Contractors",IF(Hours[[#This Row],[cat]]="REG","Employees",""))</f>
        <v>Contractors</v>
      </c>
      <c r="F145" s="34">
        <v>44165</v>
      </c>
      <c r="G145" s="35">
        <v>0.26250000000000001</v>
      </c>
      <c r="H145" s="35">
        <v>0.66736111111111107</v>
      </c>
      <c r="I145" s="29">
        <f>IF(H145&lt;G145,24+H145-G145,H145-G145)</f>
        <v>0.40486111111111106</v>
      </c>
      <c r="J145" s="36">
        <v>0.375</v>
      </c>
      <c r="K145" s="36">
        <f ca="1">IFERROR(SUMIFS(INDIRECT(Hours[[#This Row],[table]]&amp;"[real time]"),INDIRECT(Hours[[#This Row],[table]]&amp;"[employee]"),C145,INDIRECT(Hours[[#This Row],[table]]&amp;"[date]"),F145),"")</f>
        <v>0</v>
      </c>
      <c r="L145" s="36">
        <f ca="1">IFERROR(SUM(SUMIFS(INDIRECT(Hours[[#This Row],[table]]&amp;"[real time]"),INDIRECT(Hours[[#This Row],[table]]&amp;"[employee]"),C145,INDIRECT(Hours[[#This Row],[table]]&amp;"[date]"),F145,INDIRECT(Hours[[#This Row],[table]]&amp;"[code]"),{"a","x",""})),"")</f>
        <v>0</v>
      </c>
      <c r="M145" s="36">
        <f ca="1">IFERROR(SUMIFS(INDIRECT(Hours[[#This Row],[table]]&amp;"[real time]"),INDIRECT(Hours[[#This Row],[table]]&amp;"[employee]"),C145,INDIRECT(Hours[[#This Row],[table]]&amp;"[date]"),F145,INDIRECT(Hours[[#This Row],[table]]&amp;"[code]"),"m"),"")</f>
        <v>0</v>
      </c>
      <c r="N145" s="36">
        <f ca="1">IFERROR(SUMIFS(INDIRECT(Hours[[#This Row],[table]]&amp;"[real time]"),INDIRECT(Hours[[#This Row],[table]]&amp;"[employee]"),C145,INDIRECT(Hours[[#This Row],[table]]&amp;"[date]"),F145,INDIRECT(Hours[[#This Row],[table]]&amp;"[code]"),"e"),"")</f>
        <v>0</v>
      </c>
    </row>
    <row r="146" spans="1:14" x14ac:dyDescent="0.25">
      <c r="A146" s="28" t="s">
        <v>85</v>
      </c>
      <c r="B146" s="28" t="s">
        <v>86</v>
      </c>
      <c r="C146" s="1" t="s">
        <v>87</v>
      </c>
      <c r="D146" s="32" t="str">
        <f>IF(NOT(ISBLANK(Hours[[#This Row],[employee]])),IF(ISNUMBER(Hours[[#This Row],[employee]]),"REG","CON"),"")</f>
        <v>CON</v>
      </c>
      <c r="E146" s="32" t="str">
        <f>IF(Hours[[#This Row],[cat]]="CON","Contractors",IF(Hours[[#This Row],[cat]]="REG","Employees",""))</f>
        <v>Contractors</v>
      </c>
      <c r="F146" s="34">
        <v>44166</v>
      </c>
      <c r="G146" s="35">
        <v>0.2638888888888889</v>
      </c>
      <c r="H146" s="35">
        <v>0.66736111111111107</v>
      </c>
      <c r="I146" s="29">
        <f>IF(H146&lt;G146,24+H146-G146,H146-G146)</f>
        <v>0.40347222222222218</v>
      </c>
      <c r="J146" s="36">
        <v>0.375</v>
      </c>
      <c r="K146" s="36">
        <f ca="1">IFERROR(SUMIFS(INDIRECT(Hours[[#This Row],[table]]&amp;"[real time]"),INDIRECT(Hours[[#This Row],[table]]&amp;"[employee]"),C146,INDIRECT(Hours[[#This Row],[table]]&amp;"[date]"),F146),"")</f>
        <v>0</v>
      </c>
      <c r="L146" s="36">
        <f ca="1">IFERROR(SUM(SUMIFS(INDIRECT(Hours[[#This Row],[table]]&amp;"[real time]"),INDIRECT(Hours[[#This Row],[table]]&amp;"[employee]"),C146,INDIRECT(Hours[[#This Row],[table]]&amp;"[date]"),F146,INDIRECT(Hours[[#This Row],[table]]&amp;"[code]"),{"a","x",""})),"")</f>
        <v>0</v>
      </c>
      <c r="M146" s="36">
        <f ca="1">IFERROR(SUMIFS(INDIRECT(Hours[[#This Row],[table]]&amp;"[real time]"),INDIRECT(Hours[[#This Row],[table]]&amp;"[employee]"),C146,INDIRECT(Hours[[#This Row],[table]]&amp;"[date]"),F146,INDIRECT(Hours[[#This Row],[table]]&amp;"[code]"),"m"),"")</f>
        <v>0</v>
      </c>
      <c r="N146" s="36">
        <f ca="1">IFERROR(SUMIFS(INDIRECT(Hours[[#This Row],[table]]&amp;"[real time]"),INDIRECT(Hours[[#This Row],[table]]&amp;"[employee]"),C146,INDIRECT(Hours[[#This Row],[table]]&amp;"[date]"),F146,INDIRECT(Hours[[#This Row],[table]]&amp;"[code]"),"e"),"")</f>
        <v>0</v>
      </c>
    </row>
    <row r="147" spans="1:14" x14ac:dyDescent="0.25">
      <c r="A147" s="28" t="s">
        <v>85</v>
      </c>
      <c r="B147" s="28" t="s">
        <v>86</v>
      </c>
      <c r="C147" s="1" t="s">
        <v>87</v>
      </c>
      <c r="D147" s="32" t="str">
        <f>IF(NOT(ISBLANK(Hours[[#This Row],[employee]])),IF(ISNUMBER(Hours[[#This Row],[employee]]),"REG","CON"),"")</f>
        <v>CON</v>
      </c>
      <c r="E147" s="32" t="str">
        <f>IF(Hours[[#This Row],[cat]]="CON","Contractors",IF(Hours[[#This Row],[cat]]="REG","Employees",""))</f>
        <v>Contractors</v>
      </c>
      <c r="F147" s="34">
        <v>44167</v>
      </c>
      <c r="G147" s="35">
        <v>0.26319444444444445</v>
      </c>
      <c r="H147" s="35">
        <v>0.69027777777777777</v>
      </c>
      <c r="I147" s="29">
        <f>IF(H147&lt;G147,24+H147-G147,H147-G147)</f>
        <v>0.42708333333333331</v>
      </c>
      <c r="J147" s="36">
        <v>0.39583333333333331</v>
      </c>
      <c r="K147" s="36">
        <f ca="1">IFERROR(SUMIFS(INDIRECT(Hours[[#This Row],[table]]&amp;"[real time]"),INDIRECT(Hours[[#This Row],[table]]&amp;"[employee]"),C147,INDIRECT(Hours[[#This Row],[table]]&amp;"[date]"),F147),"")</f>
        <v>0</v>
      </c>
      <c r="L147" s="36">
        <f ca="1">IFERROR(SUM(SUMIFS(INDIRECT(Hours[[#This Row],[table]]&amp;"[real time]"),INDIRECT(Hours[[#This Row],[table]]&amp;"[employee]"),C147,INDIRECT(Hours[[#This Row],[table]]&amp;"[date]"),F147,INDIRECT(Hours[[#This Row],[table]]&amp;"[code]"),{"a","x",""})),"")</f>
        <v>0</v>
      </c>
      <c r="M147" s="36">
        <f ca="1">IFERROR(SUMIFS(INDIRECT(Hours[[#This Row],[table]]&amp;"[real time]"),INDIRECT(Hours[[#This Row],[table]]&amp;"[employee]"),C147,INDIRECT(Hours[[#This Row],[table]]&amp;"[date]"),F147,INDIRECT(Hours[[#This Row],[table]]&amp;"[code]"),"m"),"")</f>
        <v>0</v>
      </c>
      <c r="N147" s="36">
        <f ca="1">IFERROR(SUMIFS(INDIRECT(Hours[[#This Row],[table]]&amp;"[real time]"),INDIRECT(Hours[[#This Row],[table]]&amp;"[employee]"),C147,INDIRECT(Hours[[#This Row],[table]]&amp;"[date]"),F147,INDIRECT(Hours[[#This Row],[table]]&amp;"[code]"),"e"),"")</f>
        <v>0</v>
      </c>
    </row>
    <row r="148" spans="1:14" x14ac:dyDescent="0.25">
      <c r="A148" s="28" t="s">
        <v>85</v>
      </c>
      <c r="B148" s="28" t="s">
        <v>86</v>
      </c>
      <c r="C148" s="1" t="s">
        <v>87</v>
      </c>
      <c r="D148" s="32" t="str">
        <f>IF(NOT(ISBLANK(Hours[[#This Row],[employee]])),IF(ISNUMBER(Hours[[#This Row],[employee]]),"REG","CON"),"")</f>
        <v>CON</v>
      </c>
      <c r="E148" s="32" t="str">
        <f>IF(Hours[[#This Row],[cat]]="CON","Contractors",IF(Hours[[#This Row],[cat]]="REG","Employees",""))</f>
        <v>Contractors</v>
      </c>
      <c r="F148" s="34">
        <v>44168</v>
      </c>
      <c r="G148" s="35">
        <v>0.26250000000000001</v>
      </c>
      <c r="H148" s="35">
        <v>0.66736111111111107</v>
      </c>
      <c r="I148" s="29">
        <f>IF(H148&lt;G148,24+H148-G148,H148-G148)</f>
        <v>0.40486111111111106</v>
      </c>
      <c r="J148" s="36">
        <v>0.375</v>
      </c>
      <c r="K148" s="36">
        <f ca="1">IFERROR(SUMIFS(INDIRECT(Hours[[#This Row],[table]]&amp;"[real time]"),INDIRECT(Hours[[#This Row],[table]]&amp;"[employee]"),C148,INDIRECT(Hours[[#This Row],[table]]&amp;"[date]"),F148),"")</f>
        <v>0</v>
      </c>
      <c r="L148" s="36">
        <f ca="1">IFERROR(SUM(SUMIFS(INDIRECT(Hours[[#This Row],[table]]&amp;"[real time]"),INDIRECT(Hours[[#This Row],[table]]&amp;"[employee]"),C148,INDIRECT(Hours[[#This Row],[table]]&amp;"[date]"),F148,INDIRECT(Hours[[#This Row],[table]]&amp;"[code]"),{"a","x",""})),"")</f>
        <v>0</v>
      </c>
      <c r="M148" s="36">
        <f ca="1">IFERROR(SUMIFS(INDIRECT(Hours[[#This Row],[table]]&amp;"[real time]"),INDIRECT(Hours[[#This Row],[table]]&amp;"[employee]"),C148,INDIRECT(Hours[[#This Row],[table]]&amp;"[date]"),F148,INDIRECT(Hours[[#This Row],[table]]&amp;"[code]"),"m"),"")</f>
        <v>0</v>
      </c>
      <c r="N148" s="36">
        <f ca="1">IFERROR(SUMIFS(INDIRECT(Hours[[#This Row],[table]]&amp;"[real time]"),INDIRECT(Hours[[#This Row],[table]]&amp;"[employee]"),C148,INDIRECT(Hours[[#This Row],[table]]&amp;"[date]"),F148,INDIRECT(Hours[[#This Row],[table]]&amp;"[code]"),"e"),"")</f>
        <v>0</v>
      </c>
    </row>
    <row r="149" spans="1:14" x14ac:dyDescent="0.25">
      <c r="A149" s="28" t="s">
        <v>85</v>
      </c>
      <c r="B149" s="28" t="s">
        <v>86</v>
      </c>
      <c r="C149" s="1" t="s">
        <v>87</v>
      </c>
      <c r="D149" s="32" t="str">
        <f>IF(NOT(ISBLANK(Hours[[#This Row],[employee]])),IF(ISNUMBER(Hours[[#This Row],[employee]]),"REG","CON"),"")</f>
        <v>CON</v>
      </c>
      <c r="E149" s="32" t="str">
        <f>IF(Hours[[#This Row],[cat]]="CON","Contractors",IF(Hours[[#This Row],[cat]]="REG","Employees",""))</f>
        <v>Contractors</v>
      </c>
      <c r="F149" s="34">
        <v>44169</v>
      </c>
      <c r="G149" s="35">
        <v>0.26319444444444445</v>
      </c>
      <c r="H149" s="35">
        <v>0.66666666666666663</v>
      </c>
      <c r="I149" s="29">
        <f>IF(H149&lt;G149,24+H149-G149,H149-G149)</f>
        <v>0.40347222222222218</v>
      </c>
      <c r="J149" s="36">
        <v>0.375</v>
      </c>
      <c r="K149" s="36">
        <f ca="1">IFERROR(SUMIFS(INDIRECT(Hours[[#This Row],[table]]&amp;"[real time]"),INDIRECT(Hours[[#This Row],[table]]&amp;"[employee]"),C149,INDIRECT(Hours[[#This Row],[table]]&amp;"[date]"),F149),"")</f>
        <v>0</v>
      </c>
      <c r="L149" s="36">
        <f ca="1">IFERROR(SUM(SUMIFS(INDIRECT(Hours[[#This Row],[table]]&amp;"[real time]"),INDIRECT(Hours[[#This Row],[table]]&amp;"[employee]"),C149,INDIRECT(Hours[[#This Row],[table]]&amp;"[date]"),F149,INDIRECT(Hours[[#This Row],[table]]&amp;"[code]"),{"a","x",""})),"")</f>
        <v>0</v>
      </c>
      <c r="M149" s="36">
        <f ca="1">IFERROR(SUMIFS(INDIRECT(Hours[[#This Row],[table]]&amp;"[real time]"),INDIRECT(Hours[[#This Row],[table]]&amp;"[employee]"),C149,INDIRECT(Hours[[#This Row],[table]]&amp;"[date]"),F149,INDIRECT(Hours[[#This Row],[table]]&amp;"[code]"),"m"),"")</f>
        <v>0</v>
      </c>
      <c r="N149" s="36">
        <f ca="1">IFERROR(SUMIFS(INDIRECT(Hours[[#This Row],[table]]&amp;"[real time]"),INDIRECT(Hours[[#This Row],[table]]&amp;"[employee]"),C149,INDIRECT(Hours[[#This Row],[table]]&amp;"[date]"),F149,INDIRECT(Hours[[#This Row],[table]]&amp;"[code]"),"e"),"")</f>
        <v>0</v>
      </c>
    </row>
    <row r="150" spans="1:14" x14ac:dyDescent="0.25">
      <c r="A150" s="28" t="s">
        <v>88</v>
      </c>
      <c r="B150" s="28" t="s">
        <v>43</v>
      </c>
      <c r="C150" s="1" t="s">
        <v>89</v>
      </c>
      <c r="D150" s="32" t="str">
        <f>IF(NOT(ISBLANK(Hours[[#This Row],[employee]])),IF(ISNUMBER(Hours[[#This Row],[employee]]),"REG","CON"),"")</f>
        <v>CON</v>
      </c>
      <c r="E150" s="32" t="str">
        <f>IF(Hours[[#This Row],[cat]]="CON","Contractors",IF(Hours[[#This Row],[cat]]="REG","Employees",""))</f>
        <v>Contractors</v>
      </c>
      <c r="F150" s="34">
        <v>44161</v>
      </c>
      <c r="G150" s="35">
        <v>0.2673611111111111</v>
      </c>
      <c r="H150" s="35">
        <v>0.6694444444444444</v>
      </c>
      <c r="I150" s="29">
        <f>IF(H150&lt;G150,24+H150-G150,H150-G150)</f>
        <v>0.40208333333333329</v>
      </c>
      <c r="J150" s="36">
        <v>0.375</v>
      </c>
      <c r="K150" s="36">
        <f ca="1">IFERROR(SUMIFS(INDIRECT(Hours[[#This Row],[table]]&amp;"[real time]"),INDIRECT(Hours[[#This Row],[table]]&amp;"[employee]"),C150,INDIRECT(Hours[[#This Row],[table]]&amp;"[date]"),F150),"")</f>
        <v>0</v>
      </c>
      <c r="L150" s="36">
        <f ca="1">IFERROR(SUM(SUMIFS(INDIRECT(Hours[[#This Row],[table]]&amp;"[real time]"),INDIRECT(Hours[[#This Row],[table]]&amp;"[employee]"),C150,INDIRECT(Hours[[#This Row],[table]]&amp;"[date]"),F150,INDIRECT(Hours[[#This Row],[table]]&amp;"[code]"),{"a","x",""})),"")</f>
        <v>0</v>
      </c>
      <c r="M150" s="36">
        <f ca="1">IFERROR(SUMIFS(INDIRECT(Hours[[#This Row],[table]]&amp;"[real time]"),INDIRECT(Hours[[#This Row],[table]]&amp;"[employee]"),C150,INDIRECT(Hours[[#This Row],[table]]&amp;"[date]"),F150,INDIRECT(Hours[[#This Row],[table]]&amp;"[code]"),"m"),"")</f>
        <v>0</v>
      </c>
      <c r="N150" s="36">
        <f ca="1">IFERROR(SUMIFS(INDIRECT(Hours[[#This Row],[table]]&amp;"[real time]"),INDIRECT(Hours[[#This Row],[table]]&amp;"[employee]"),C150,INDIRECT(Hours[[#This Row],[table]]&amp;"[date]"),F150,INDIRECT(Hours[[#This Row],[table]]&amp;"[code]"),"e"),"")</f>
        <v>0</v>
      </c>
    </row>
    <row r="151" spans="1:14" x14ac:dyDescent="0.25">
      <c r="A151" s="28" t="s">
        <v>88</v>
      </c>
      <c r="B151" s="28" t="s">
        <v>43</v>
      </c>
      <c r="C151" s="1" t="s">
        <v>89</v>
      </c>
      <c r="D151" s="32" t="str">
        <f>IF(NOT(ISBLANK(Hours[[#This Row],[employee]])),IF(ISNUMBER(Hours[[#This Row],[employee]]),"REG","CON"),"")</f>
        <v>CON</v>
      </c>
      <c r="E151" s="32" t="str">
        <f>IF(Hours[[#This Row],[cat]]="CON","Contractors",IF(Hours[[#This Row],[cat]]="REG","Employees",""))</f>
        <v>Contractors</v>
      </c>
      <c r="F151" s="34">
        <v>44162</v>
      </c>
      <c r="G151" s="35">
        <v>0.2673611111111111</v>
      </c>
      <c r="H151" s="35">
        <v>0.67708333333333337</v>
      </c>
      <c r="I151" s="29">
        <f>IF(H151&lt;G151,24+H151-G151,H151-G151)</f>
        <v>0.40972222222222227</v>
      </c>
      <c r="J151" s="36">
        <v>0.38541666666666669</v>
      </c>
      <c r="K151" s="36">
        <f ca="1">IFERROR(SUMIFS(INDIRECT(Hours[[#This Row],[table]]&amp;"[real time]"),INDIRECT(Hours[[#This Row],[table]]&amp;"[employee]"),C151,INDIRECT(Hours[[#This Row],[table]]&amp;"[date]"),F151),"")</f>
        <v>0</v>
      </c>
      <c r="L151" s="36">
        <f ca="1">IFERROR(SUM(SUMIFS(INDIRECT(Hours[[#This Row],[table]]&amp;"[real time]"),INDIRECT(Hours[[#This Row],[table]]&amp;"[employee]"),C151,INDIRECT(Hours[[#This Row],[table]]&amp;"[date]"),F151,INDIRECT(Hours[[#This Row],[table]]&amp;"[code]"),{"a","x",""})),"")</f>
        <v>0</v>
      </c>
      <c r="M151" s="36">
        <f ca="1">IFERROR(SUMIFS(INDIRECT(Hours[[#This Row],[table]]&amp;"[real time]"),INDIRECT(Hours[[#This Row],[table]]&amp;"[employee]"),C151,INDIRECT(Hours[[#This Row],[table]]&amp;"[date]"),F151,INDIRECT(Hours[[#This Row],[table]]&amp;"[code]"),"m"),"")</f>
        <v>0</v>
      </c>
      <c r="N151" s="36">
        <f ca="1">IFERROR(SUMIFS(INDIRECT(Hours[[#This Row],[table]]&amp;"[real time]"),INDIRECT(Hours[[#This Row],[table]]&amp;"[employee]"),C151,INDIRECT(Hours[[#This Row],[table]]&amp;"[date]"),F151,INDIRECT(Hours[[#This Row],[table]]&amp;"[code]"),"e"),"")</f>
        <v>0</v>
      </c>
    </row>
    <row r="152" spans="1:14" x14ac:dyDescent="0.25">
      <c r="A152" s="28" t="s">
        <v>88</v>
      </c>
      <c r="B152" s="28" t="s">
        <v>43</v>
      </c>
      <c r="C152" s="1" t="s">
        <v>89</v>
      </c>
      <c r="D152" s="32" t="str">
        <f>IF(NOT(ISBLANK(Hours[[#This Row],[employee]])),IF(ISNUMBER(Hours[[#This Row],[employee]]),"REG","CON"),"")</f>
        <v>CON</v>
      </c>
      <c r="E152" s="32" t="str">
        <f>IF(Hours[[#This Row],[cat]]="CON","Contractors",IF(Hours[[#This Row],[cat]]="REG","Employees",""))</f>
        <v>Contractors</v>
      </c>
      <c r="F152" s="34">
        <v>44163</v>
      </c>
      <c r="G152" s="35">
        <v>0.27777777777777779</v>
      </c>
      <c r="H152" s="35">
        <v>0.57430555555555551</v>
      </c>
      <c r="I152" s="29">
        <f>IF(H152&lt;G152,24+H152-G152,H152-G152)</f>
        <v>0.29652777777777772</v>
      </c>
      <c r="J152" s="36">
        <v>0.27083333333333331</v>
      </c>
      <c r="K152" s="36">
        <f ca="1">IFERROR(SUMIFS(INDIRECT(Hours[[#This Row],[table]]&amp;"[real time]"),INDIRECT(Hours[[#This Row],[table]]&amp;"[employee]"),C152,INDIRECT(Hours[[#This Row],[table]]&amp;"[date]"),F152),"")</f>
        <v>0</v>
      </c>
      <c r="L152" s="36">
        <f ca="1">IFERROR(SUM(SUMIFS(INDIRECT(Hours[[#This Row],[table]]&amp;"[real time]"),INDIRECT(Hours[[#This Row],[table]]&amp;"[employee]"),C152,INDIRECT(Hours[[#This Row],[table]]&amp;"[date]"),F152,INDIRECT(Hours[[#This Row],[table]]&amp;"[code]"),{"a","x",""})),"")</f>
        <v>0</v>
      </c>
      <c r="M152" s="36">
        <f ca="1">IFERROR(SUMIFS(INDIRECT(Hours[[#This Row],[table]]&amp;"[real time]"),INDIRECT(Hours[[#This Row],[table]]&amp;"[employee]"),C152,INDIRECT(Hours[[#This Row],[table]]&amp;"[date]"),F152,INDIRECT(Hours[[#This Row],[table]]&amp;"[code]"),"m"),"")</f>
        <v>0</v>
      </c>
      <c r="N152" s="36">
        <f ca="1">IFERROR(SUMIFS(INDIRECT(Hours[[#This Row],[table]]&amp;"[real time]"),INDIRECT(Hours[[#This Row],[table]]&amp;"[employee]"),C152,INDIRECT(Hours[[#This Row],[table]]&amp;"[date]"),F152,INDIRECT(Hours[[#This Row],[table]]&amp;"[code]"),"e"),"")</f>
        <v>0</v>
      </c>
    </row>
    <row r="153" spans="1:14" x14ac:dyDescent="0.25">
      <c r="A153" s="28" t="s">
        <v>88</v>
      </c>
      <c r="B153" s="28" t="s">
        <v>43</v>
      </c>
      <c r="C153" s="1" t="s">
        <v>89</v>
      </c>
      <c r="D153" s="32" t="str">
        <f>IF(NOT(ISBLANK(Hours[[#This Row],[employee]])),IF(ISNUMBER(Hours[[#This Row],[employee]]),"REG","CON"),"")</f>
        <v>CON</v>
      </c>
      <c r="E153" s="32" t="str">
        <f>IF(Hours[[#This Row],[cat]]="CON","Contractors",IF(Hours[[#This Row],[cat]]="REG","Employees",""))</f>
        <v>Contractors</v>
      </c>
      <c r="F153" s="34">
        <v>44165</v>
      </c>
      <c r="G153" s="35">
        <v>0.27013888888888887</v>
      </c>
      <c r="H153" s="35">
        <v>0.70833333333333337</v>
      </c>
      <c r="I153" s="29">
        <f>IF(H153&lt;G153,24+H153-G153,H153-G153)</f>
        <v>0.4381944444444445</v>
      </c>
      <c r="J153" s="36">
        <v>0.41666666666666669</v>
      </c>
      <c r="K153" s="36">
        <f ca="1">IFERROR(SUMIFS(INDIRECT(Hours[[#This Row],[table]]&amp;"[real time]"),INDIRECT(Hours[[#This Row],[table]]&amp;"[employee]"),C153,INDIRECT(Hours[[#This Row],[table]]&amp;"[date]"),F153),"")</f>
        <v>0</v>
      </c>
      <c r="L153" s="36">
        <f ca="1">IFERROR(SUM(SUMIFS(INDIRECT(Hours[[#This Row],[table]]&amp;"[real time]"),INDIRECT(Hours[[#This Row],[table]]&amp;"[employee]"),C153,INDIRECT(Hours[[#This Row],[table]]&amp;"[date]"),F153,INDIRECT(Hours[[#This Row],[table]]&amp;"[code]"),{"a","x",""})),"")</f>
        <v>0</v>
      </c>
      <c r="M153" s="36">
        <f ca="1">IFERROR(SUMIFS(INDIRECT(Hours[[#This Row],[table]]&amp;"[real time]"),INDIRECT(Hours[[#This Row],[table]]&amp;"[employee]"),C153,INDIRECT(Hours[[#This Row],[table]]&amp;"[date]"),F153,INDIRECT(Hours[[#This Row],[table]]&amp;"[code]"),"m"),"")</f>
        <v>0</v>
      </c>
      <c r="N153" s="36">
        <f ca="1">IFERROR(SUMIFS(INDIRECT(Hours[[#This Row],[table]]&amp;"[real time]"),INDIRECT(Hours[[#This Row],[table]]&amp;"[employee]"),C153,INDIRECT(Hours[[#This Row],[table]]&amp;"[date]"),F153,INDIRECT(Hours[[#This Row],[table]]&amp;"[code]"),"e"),"")</f>
        <v>0</v>
      </c>
    </row>
    <row r="154" spans="1:14" x14ac:dyDescent="0.25">
      <c r="A154" s="28" t="s">
        <v>88</v>
      </c>
      <c r="B154" s="28" t="s">
        <v>43</v>
      </c>
      <c r="C154" s="1" t="s">
        <v>89</v>
      </c>
      <c r="D154" s="32" t="str">
        <f>IF(NOT(ISBLANK(Hours[[#This Row],[employee]])),IF(ISNUMBER(Hours[[#This Row],[employee]]),"REG","CON"),"")</f>
        <v>CON</v>
      </c>
      <c r="E154" s="32" t="str">
        <f>IF(Hours[[#This Row],[cat]]="CON","Contractors",IF(Hours[[#This Row],[cat]]="REG","Employees",""))</f>
        <v>Contractors</v>
      </c>
      <c r="F154" s="34">
        <v>44166</v>
      </c>
      <c r="G154" s="35">
        <v>0.26944444444444443</v>
      </c>
      <c r="H154" s="35">
        <v>0.71875</v>
      </c>
      <c r="I154" s="29">
        <f>IF(H154&lt;G154,24+H154-G154,H154-G154)</f>
        <v>0.44930555555555557</v>
      </c>
      <c r="J154" s="36">
        <v>0.42708333333333331</v>
      </c>
      <c r="K154" s="36">
        <f ca="1">IFERROR(SUMIFS(INDIRECT(Hours[[#This Row],[table]]&amp;"[real time]"),INDIRECT(Hours[[#This Row],[table]]&amp;"[employee]"),C154,INDIRECT(Hours[[#This Row],[table]]&amp;"[date]"),F154),"")</f>
        <v>0</v>
      </c>
      <c r="L154" s="36">
        <f ca="1">IFERROR(SUM(SUMIFS(INDIRECT(Hours[[#This Row],[table]]&amp;"[real time]"),INDIRECT(Hours[[#This Row],[table]]&amp;"[employee]"),C154,INDIRECT(Hours[[#This Row],[table]]&amp;"[date]"),F154,INDIRECT(Hours[[#This Row],[table]]&amp;"[code]"),{"a","x",""})),"")</f>
        <v>0</v>
      </c>
      <c r="M154" s="36">
        <f ca="1">IFERROR(SUMIFS(INDIRECT(Hours[[#This Row],[table]]&amp;"[real time]"),INDIRECT(Hours[[#This Row],[table]]&amp;"[employee]"),C154,INDIRECT(Hours[[#This Row],[table]]&amp;"[date]"),F154,INDIRECT(Hours[[#This Row],[table]]&amp;"[code]"),"m"),"")</f>
        <v>0</v>
      </c>
      <c r="N154" s="36">
        <f ca="1">IFERROR(SUMIFS(INDIRECT(Hours[[#This Row],[table]]&amp;"[real time]"),INDIRECT(Hours[[#This Row],[table]]&amp;"[employee]"),C154,INDIRECT(Hours[[#This Row],[table]]&amp;"[date]"),F154,INDIRECT(Hours[[#This Row],[table]]&amp;"[code]"),"e"),"")</f>
        <v>0</v>
      </c>
    </row>
    <row r="155" spans="1:14" x14ac:dyDescent="0.25">
      <c r="A155" s="28" t="s">
        <v>88</v>
      </c>
      <c r="B155" s="28" t="s">
        <v>43</v>
      </c>
      <c r="C155" s="1" t="s">
        <v>89</v>
      </c>
      <c r="D155" s="32" t="str">
        <f>IF(NOT(ISBLANK(Hours[[#This Row],[employee]])),IF(ISNUMBER(Hours[[#This Row],[employee]]),"REG","CON"),"")</f>
        <v>CON</v>
      </c>
      <c r="E155" s="32" t="str">
        <f>IF(Hours[[#This Row],[cat]]="CON","Contractors",IF(Hours[[#This Row],[cat]]="REG","Employees",""))</f>
        <v>Contractors</v>
      </c>
      <c r="F155" s="34">
        <v>44167</v>
      </c>
      <c r="G155" s="35">
        <v>0.27152777777777776</v>
      </c>
      <c r="H155" s="35">
        <v>0.70833333333333337</v>
      </c>
      <c r="I155" s="29">
        <f>IF(H155&lt;G155,24+H155-G155,H155-G155)</f>
        <v>0.43680555555555561</v>
      </c>
      <c r="J155" s="36">
        <v>0.41666666666666669</v>
      </c>
      <c r="K155" s="36">
        <f ca="1">IFERROR(SUMIFS(INDIRECT(Hours[[#This Row],[table]]&amp;"[real time]"),INDIRECT(Hours[[#This Row],[table]]&amp;"[employee]"),C155,INDIRECT(Hours[[#This Row],[table]]&amp;"[date]"),F155),"")</f>
        <v>0</v>
      </c>
      <c r="L155" s="36">
        <f ca="1">IFERROR(SUM(SUMIFS(INDIRECT(Hours[[#This Row],[table]]&amp;"[real time]"),INDIRECT(Hours[[#This Row],[table]]&amp;"[employee]"),C155,INDIRECT(Hours[[#This Row],[table]]&amp;"[date]"),F155,INDIRECT(Hours[[#This Row],[table]]&amp;"[code]"),{"a","x",""})),"")</f>
        <v>0</v>
      </c>
      <c r="M155" s="36">
        <f ca="1">IFERROR(SUMIFS(INDIRECT(Hours[[#This Row],[table]]&amp;"[real time]"),INDIRECT(Hours[[#This Row],[table]]&amp;"[employee]"),C155,INDIRECT(Hours[[#This Row],[table]]&amp;"[date]"),F155,INDIRECT(Hours[[#This Row],[table]]&amp;"[code]"),"m"),"")</f>
        <v>0</v>
      </c>
      <c r="N155" s="36">
        <f ca="1">IFERROR(SUMIFS(INDIRECT(Hours[[#This Row],[table]]&amp;"[real time]"),INDIRECT(Hours[[#This Row],[table]]&amp;"[employee]"),C155,INDIRECT(Hours[[#This Row],[table]]&amp;"[date]"),F155,INDIRECT(Hours[[#This Row],[table]]&amp;"[code]"),"e"),"")</f>
        <v>0</v>
      </c>
    </row>
    <row r="156" spans="1:14" x14ac:dyDescent="0.25">
      <c r="A156" s="28" t="s">
        <v>88</v>
      </c>
      <c r="B156" s="28" t="s">
        <v>43</v>
      </c>
      <c r="C156" s="1" t="s">
        <v>89</v>
      </c>
      <c r="D156" s="32" t="str">
        <f>IF(NOT(ISBLANK(Hours[[#This Row],[employee]])),IF(ISNUMBER(Hours[[#This Row],[employee]]),"REG","CON"),"")</f>
        <v>CON</v>
      </c>
      <c r="E156" s="32" t="str">
        <f>IF(Hours[[#This Row],[cat]]="CON","Contractors",IF(Hours[[#This Row],[cat]]="REG","Employees",""))</f>
        <v>Contractors</v>
      </c>
      <c r="F156" s="34">
        <v>44168</v>
      </c>
      <c r="G156" s="35">
        <v>0.26874999999999999</v>
      </c>
      <c r="H156" s="35">
        <v>0.7090277777777777</v>
      </c>
      <c r="I156" s="29">
        <f>IF(H156&lt;G156,24+H156-G156,H156-G156)</f>
        <v>0.44027777777777771</v>
      </c>
      <c r="J156" s="36">
        <v>0.41666666666666669</v>
      </c>
      <c r="K156" s="36">
        <f ca="1">IFERROR(SUMIFS(INDIRECT(Hours[[#This Row],[table]]&amp;"[real time]"),INDIRECT(Hours[[#This Row],[table]]&amp;"[employee]"),C156,INDIRECT(Hours[[#This Row],[table]]&amp;"[date]"),F156),"")</f>
        <v>0</v>
      </c>
      <c r="L156" s="36">
        <f ca="1">IFERROR(SUM(SUMIFS(INDIRECT(Hours[[#This Row],[table]]&amp;"[real time]"),INDIRECT(Hours[[#This Row],[table]]&amp;"[employee]"),C156,INDIRECT(Hours[[#This Row],[table]]&amp;"[date]"),F156,INDIRECT(Hours[[#This Row],[table]]&amp;"[code]"),{"a","x",""})),"")</f>
        <v>0</v>
      </c>
      <c r="M156" s="36">
        <f ca="1">IFERROR(SUMIFS(INDIRECT(Hours[[#This Row],[table]]&amp;"[real time]"),INDIRECT(Hours[[#This Row],[table]]&amp;"[employee]"),C156,INDIRECT(Hours[[#This Row],[table]]&amp;"[date]"),F156,INDIRECT(Hours[[#This Row],[table]]&amp;"[code]"),"m"),"")</f>
        <v>0</v>
      </c>
      <c r="N156" s="36">
        <f ca="1">IFERROR(SUMIFS(INDIRECT(Hours[[#This Row],[table]]&amp;"[real time]"),INDIRECT(Hours[[#This Row],[table]]&amp;"[employee]"),C156,INDIRECT(Hours[[#This Row],[table]]&amp;"[date]"),F156,INDIRECT(Hours[[#This Row],[table]]&amp;"[code]"),"e"),"")</f>
        <v>0</v>
      </c>
    </row>
    <row r="157" spans="1:14" x14ac:dyDescent="0.25">
      <c r="A157" s="28" t="s">
        <v>88</v>
      </c>
      <c r="B157" s="28" t="s">
        <v>43</v>
      </c>
      <c r="C157" s="1" t="s">
        <v>89</v>
      </c>
      <c r="D157" s="32" t="str">
        <f>IF(NOT(ISBLANK(Hours[[#This Row],[employee]])),IF(ISNUMBER(Hours[[#This Row],[employee]]),"REG","CON"),"")</f>
        <v>CON</v>
      </c>
      <c r="E157" s="32" t="str">
        <f>IF(Hours[[#This Row],[cat]]="CON","Contractors",IF(Hours[[#This Row],[cat]]="REG","Employees",""))</f>
        <v>Contractors</v>
      </c>
      <c r="F157" s="34">
        <v>44169</v>
      </c>
      <c r="G157" s="35">
        <v>0.2722222222222222</v>
      </c>
      <c r="H157" s="35">
        <v>0.79236111111111107</v>
      </c>
      <c r="I157" s="29">
        <f>IF(H157&lt;G157,24+H157-G157,H157-G157)</f>
        <v>0.52013888888888893</v>
      </c>
      <c r="J157" s="36">
        <v>0.5</v>
      </c>
      <c r="K157" s="36">
        <f ca="1">IFERROR(SUMIFS(INDIRECT(Hours[[#This Row],[table]]&amp;"[real time]"),INDIRECT(Hours[[#This Row],[table]]&amp;"[employee]"),C157,INDIRECT(Hours[[#This Row],[table]]&amp;"[date]"),F157),"")</f>
        <v>0</v>
      </c>
      <c r="L157" s="36">
        <f ca="1">IFERROR(SUM(SUMIFS(INDIRECT(Hours[[#This Row],[table]]&amp;"[real time]"),INDIRECT(Hours[[#This Row],[table]]&amp;"[employee]"),C157,INDIRECT(Hours[[#This Row],[table]]&amp;"[date]"),F157,INDIRECT(Hours[[#This Row],[table]]&amp;"[code]"),{"a","x",""})),"")</f>
        <v>0</v>
      </c>
      <c r="M157" s="36">
        <f ca="1">IFERROR(SUMIFS(INDIRECT(Hours[[#This Row],[table]]&amp;"[real time]"),INDIRECT(Hours[[#This Row],[table]]&amp;"[employee]"),C157,INDIRECT(Hours[[#This Row],[table]]&amp;"[date]"),F157,INDIRECT(Hours[[#This Row],[table]]&amp;"[code]"),"m"),"")</f>
        <v>0</v>
      </c>
      <c r="N157" s="36">
        <f ca="1">IFERROR(SUMIFS(INDIRECT(Hours[[#This Row],[table]]&amp;"[real time]"),INDIRECT(Hours[[#This Row],[table]]&amp;"[employee]"),C157,INDIRECT(Hours[[#This Row],[table]]&amp;"[date]"),F157,INDIRECT(Hours[[#This Row],[table]]&amp;"[code]"),"e"),"")</f>
        <v>0</v>
      </c>
    </row>
    <row r="158" spans="1:14" x14ac:dyDescent="0.25">
      <c r="A158" s="28" t="s">
        <v>90</v>
      </c>
      <c r="B158" s="28" t="s">
        <v>91</v>
      </c>
      <c r="C158" s="1" t="s">
        <v>92</v>
      </c>
      <c r="D158" s="32" t="str">
        <f>IF(NOT(ISBLANK(Hours[[#This Row],[employee]])),IF(ISNUMBER(Hours[[#This Row],[employee]]),"REG","CON"),"")</f>
        <v>CON</v>
      </c>
      <c r="E158" s="32" t="str">
        <f>IF(Hours[[#This Row],[cat]]="CON","Contractors",IF(Hours[[#This Row],[cat]]="REG","Employees",""))</f>
        <v>Contractors</v>
      </c>
      <c r="F158" s="34">
        <v>44158</v>
      </c>
      <c r="G158" s="35">
        <v>0.26597222222222222</v>
      </c>
      <c r="H158" s="35">
        <v>0.70833333333333337</v>
      </c>
      <c r="I158" s="29">
        <f>IF(H158&lt;G158,24+H158-G158,H158-G158)</f>
        <v>0.44236111111111115</v>
      </c>
      <c r="J158" s="36">
        <v>0.41666666666666669</v>
      </c>
      <c r="K158" s="36">
        <f ca="1">IFERROR(SUMIFS(INDIRECT(Hours[[#This Row],[table]]&amp;"[real time]"),INDIRECT(Hours[[#This Row],[table]]&amp;"[employee]"),C158,INDIRECT(Hours[[#This Row],[table]]&amp;"[date]"),F158),"")</f>
        <v>0</v>
      </c>
      <c r="L158" s="36">
        <f ca="1">IFERROR(SUM(SUMIFS(INDIRECT(Hours[[#This Row],[table]]&amp;"[real time]"),INDIRECT(Hours[[#This Row],[table]]&amp;"[employee]"),C158,INDIRECT(Hours[[#This Row],[table]]&amp;"[date]"),F158,INDIRECT(Hours[[#This Row],[table]]&amp;"[code]"),{"a","x",""})),"")</f>
        <v>0</v>
      </c>
      <c r="M158" s="36">
        <f ca="1">IFERROR(SUMIFS(INDIRECT(Hours[[#This Row],[table]]&amp;"[real time]"),INDIRECT(Hours[[#This Row],[table]]&amp;"[employee]"),C158,INDIRECT(Hours[[#This Row],[table]]&amp;"[date]"),F158,INDIRECT(Hours[[#This Row],[table]]&amp;"[code]"),"m"),"")</f>
        <v>0</v>
      </c>
      <c r="N158" s="36">
        <f ca="1">IFERROR(SUMIFS(INDIRECT(Hours[[#This Row],[table]]&amp;"[real time]"),INDIRECT(Hours[[#This Row],[table]]&amp;"[employee]"),C158,INDIRECT(Hours[[#This Row],[table]]&amp;"[date]"),F158,INDIRECT(Hours[[#This Row],[table]]&amp;"[code]"),"e"),"")</f>
        <v>0</v>
      </c>
    </row>
    <row r="159" spans="1:14" x14ac:dyDescent="0.25">
      <c r="A159" s="28" t="s">
        <v>90</v>
      </c>
      <c r="B159" s="28" t="s">
        <v>91</v>
      </c>
      <c r="C159" s="1" t="s">
        <v>92</v>
      </c>
      <c r="D159" s="32" t="str">
        <f>IF(NOT(ISBLANK(Hours[[#This Row],[employee]])),IF(ISNUMBER(Hours[[#This Row],[employee]]),"REG","CON"),"")</f>
        <v>CON</v>
      </c>
      <c r="E159" s="32" t="str">
        <f>IF(Hours[[#This Row],[cat]]="CON","Contractors",IF(Hours[[#This Row],[cat]]="REG","Employees",""))</f>
        <v>Contractors</v>
      </c>
      <c r="F159" s="34">
        <v>44159</v>
      </c>
      <c r="G159" s="35">
        <v>0.26874999999999999</v>
      </c>
      <c r="H159" s="35">
        <v>0.6875</v>
      </c>
      <c r="I159" s="29">
        <f>IF(H159&lt;G159,24+H159-G159,H159-G159)</f>
        <v>0.41875000000000001</v>
      </c>
      <c r="J159" s="36">
        <v>0.39583333333333331</v>
      </c>
      <c r="K159" s="36">
        <f ca="1">IFERROR(SUMIFS(INDIRECT(Hours[[#This Row],[table]]&amp;"[real time]"),INDIRECT(Hours[[#This Row],[table]]&amp;"[employee]"),C159,INDIRECT(Hours[[#This Row],[table]]&amp;"[date]"),F159),"")</f>
        <v>0</v>
      </c>
      <c r="L159" s="36">
        <f ca="1">IFERROR(SUM(SUMIFS(INDIRECT(Hours[[#This Row],[table]]&amp;"[real time]"),INDIRECT(Hours[[#This Row],[table]]&amp;"[employee]"),C159,INDIRECT(Hours[[#This Row],[table]]&amp;"[date]"),F159,INDIRECT(Hours[[#This Row],[table]]&amp;"[code]"),{"a","x",""})),"")</f>
        <v>0</v>
      </c>
      <c r="M159" s="36">
        <f ca="1">IFERROR(SUMIFS(INDIRECT(Hours[[#This Row],[table]]&amp;"[real time]"),INDIRECT(Hours[[#This Row],[table]]&amp;"[employee]"),C159,INDIRECT(Hours[[#This Row],[table]]&amp;"[date]"),F159,INDIRECT(Hours[[#This Row],[table]]&amp;"[code]"),"m"),"")</f>
        <v>0</v>
      </c>
      <c r="N159" s="36">
        <f ca="1">IFERROR(SUMIFS(INDIRECT(Hours[[#This Row],[table]]&amp;"[real time]"),INDIRECT(Hours[[#This Row],[table]]&amp;"[employee]"),C159,INDIRECT(Hours[[#This Row],[table]]&amp;"[date]"),F159,INDIRECT(Hours[[#This Row],[table]]&amp;"[code]"),"e"),"")</f>
        <v>0</v>
      </c>
    </row>
    <row r="160" spans="1:14" x14ac:dyDescent="0.25">
      <c r="A160" s="28" t="s">
        <v>90</v>
      </c>
      <c r="B160" s="28" t="s">
        <v>91</v>
      </c>
      <c r="C160" s="1" t="s">
        <v>92</v>
      </c>
      <c r="D160" s="32" t="str">
        <f>IF(NOT(ISBLANK(Hours[[#This Row],[employee]])),IF(ISNUMBER(Hours[[#This Row],[employee]]),"REG","CON"),"")</f>
        <v>CON</v>
      </c>
      <c r="E160" s="32" t="str">
        <f>IF(Hours[[#This Row],[cat]]="CON","Contractors",IF(Hours[[#This Row],[cat]]="REG","Employees",""))</f>
        <v>Contractors</v>
      </c>
      <c r="F160" s="34">
        <v>44160</v>
      </c>
      <c r="G160" s="35">
        <v>0.68472222222222223</v>
      </c>
      <c r="H160" s="35">
        <v>8.3333333333333329E-2</v>
      </c>
      <c r="I160" s="29">
        <f>IF(H160&lt;G160,24+H160-G160,H160-G160)</f>
        <v>23.398611111111109</v>
      </c>
      <c r="J160" s="36">
        <v>0.375</v>
      </c>
      <c r="K160" s="36">
        <f ca="1">IFERROR(SUMIFS(INDIRECT(Hours[[#This Row],[table]]&amp;"[real time]"),INDIRECT(Hours[[#This Row],[table]]&amp;"[employee]"),C160,INDIRECT(Hours[[#This Row],[table]]&amp;"[date]"),F160),"")</f>
        <v>0</v>
      </c>
      <c r="L160" s="36">
        <f ca="1">IFERROR(SUM(SUMIFS(INDIRECT(Hours[[#This Row],[table]]&amp;"[real time]"),INDIRECT(Hours[[#This Row],[table]]&amp;"[employee]"),C160,INDIRECT(Hours[[#This Row],[table]]&amp;"[date]"),F160,INDIRECT(Hours[[#This Row],[table]]&amp;"[code]"),{"a","x",""})),"")</f>
        <v>0</v>
      </c>
      <c r="M160" s="36">
        <f ca="1">IFERROR(SUMIFS(INDIRECT(Hours[[#This Row],[table]]&amp;"[real time]"),INDIRECT(Hours[[#This Row],[table]]&amp;"[employee]"),C160,INDIRECT(Hours[[#This Row],[table]]&amp;"[date]"),F160,INDIRECT(Hours[[#This Row],[table]]&amp;"[code]"),"m"),"")</f>
        <v>0</v>
      </c>
      <c r="N160" s="36">
        <f ca="1">IFERROR(SUMIFS(INDIRECT(Hours[[#This Row],[table]]&amp;"[real time]"),INDIRECT(Hours[[#This Row],[table]]&amp;"[employee]"),C160,INDIRECT(Hours[[#This Row],[table]]&amp;"[date]"),F160,INDIRECT(Hours[[#This Row],[table]]&amp;"[code]"),"e"),"")</f>
        <v>0</v>
      </c>
    </row>
    <row r="161" spans="1:14" x14ac:dyDescent="0.25">
      <c r="A161" s="28" t="s">
        <v>90</v>
      </c>
      <c r="B161" s="28" t="s">
        <v>91</v>
      </c>
      <c r="C161" s="1" t="s">
        <v>92</v>
      </c>
      <c r="D161" s="32" t="str">
        <f>IF(NOT(ISBLANK(Hours[[#This Row],[employee]])),IF(ISNUMBER(Hours[[#This Row],[employee]]),"REG","CON"),"")</f>
        <v>CON</v>
      </c>
      <c r="E161" s="32" t="str">
        <f>IF(Hours[[#This Row],[cat]]="CON","Contractors",IF(Hours[[#This Row],[cat]]="REG","Employees",""))</f>
        <v>Contractors</v>
      </c>
      <c r="F161" s="34">
        <v>44161</v>
      </c>
      <c r="G161" s="35">
        <v>0.67986111111111114</v>
      </c>
      <c r="H161" s="35">
        <v>8.3333333333333329E-2</v>
      </c>
      <c r="I161" s="29">
        <f>IF(H161&lt;G161,24+H161-G161,H161-G161)</f>
        <v>23.40347222222222</v>
      </c>
      <c r="J161" s="36">
        <v>0.375</v>
      </c>
      <c r="K161" s="36">
        <f ca="1">IFERROR(SUMIFS(INDIRECT(Hours[[#This Row],[table]]&amp;"[real time]"),INDIRECT(Hours[[#This Row],[table]]&amp;"[employee]"),C161,INDIRECT(Hours[[#This Row],[table]]&amp;"[date]"),F161),"")</f>
        <v>0</v>
      </c>
      <c r="L161" s="36">
        <f ca="1">IFERROR(SUM(SUMIFS(INDIRECT(Hours[[#This Row],[table]]&amp;"[real time]"),INDIRECT(Hours[[#This Row],[table]]&amp;"[employee]"),C161,INDIRECT(Hours[[#This Row],[table]]&amp;"[date]"),F161,INDIRECT(Hours[[#This Row],[table]]&amp;"[code]"),{"a","x",""})),"")</f>
        <v>0</v>
      </c>
      <c r="M161" s="36">
        <f ca="1">IFERROR(SUMIFS(INDIRECT(Hours[[#This Row],[table]]&amp;"[real time]"),INDIRECT(Hours[[#This Row],[table]]&amp;"[employee]"),C161,INDIRECT(Hours[[#This Row],[table]]&amp;"[date]"),F161,INDIRECT(Hours[[#This Row],[table]]&amp;"[code]"),"m"),"")</f>
        <v>0</v>
      </c>
      <c r="N161" s="36">
        <f ca="1">IFERROR(SUMIFS(INDIRECT(Hours[[#This Row],[table]]&amp;"[real time]"),INDIRECT(Hours[[#This Row],[table]]&amp;"[employee]"),C161,INDIRECT(Hours[[#This Row],[table]]&amp;"[date]"),F161,INDIRECT(Hours[[#This Row],[table]]&amp;"[code]"),"e"),"")</f>
        <v>0</v>
      </c>
    </row>
    <row r="162" spans="1:14" x14ac:dyDescent="0.25">
      <c r="A162" s="28" t="s">
        <v>90</v>
      </c>
      <c r="B162" s="28" t="s">
        <v>91</v>
      </c>
      <c r="C162" s="1" t="s">
        <v>92</v>
      </c>
      <c r="D162" s="32" t="str">
        <f>IF(NOT(ISBLANK(Hours[[#This Row],[employee]])),IF(ISNUMBER(Hours[[#This Row],[employee]]),"REG","CON"),"")</f>
        <v>CON</v>
      </c>
      <c r="E162" s="32" t="str">
        <f>IF(Hours[[#This Row],[cat]]="CON","Contractors",IF(Hours[[#This Row],[cat]]="REG","Employees",""))</f>
        <v>Contractors</v>
      </c>
      <c r="F162" s="34">
        <v>44162</v>
      </c>
      <c r="G162" s="35">
        <v>0.67638888888888893</v>
      </c>
      <c r="H162" s="35">
        <v>4.1666666666666664E-2</v>
      </c>
      <c r="I162" s="29">
        <f>IF(H162&lt;G162,24+H162-G162,H162-G162)</f>
        <v>23.365277777777777</v>
      </c>
      <c r="J162" s="36">
        <v>0.33333333333333331</v>
      </c>
      <c r="K162" s="36">
        <f ca="1">IFERROR(SUMIFS(INDIRECT(Hours[[#This Row],[table]]&amp;"[real time]"),INDIRECT(Hours[[#This Row],[table]]&amp;"[employee]"),C162,INDIRECT(Hours[[#This Row],[table]]&amp;"[date]"),F162),"")</f>
        <v>0</v>
      </c>
      <c r="L162" s="36">
        <f ca="1">IFERROR(SUM(SUMIFS(INDIRECT(Hours[[#This Row],[table]]&amp;"[real time]"),INDIRECT(Hours[[#This Row],[table]]&amp;"[employee]"),C162,INDIRECT(Hours[[#This Row],[table]]&amp;"[date]"),F162,INDIRECT(Hours[[#This Row],[table]]&amp;"[code]"),{"a","x",""})),"")</f>
        <v>0</v>
      </c>
      <c r="M162" s="36">
        <f ca="1">IFERROR(SUMIFS(INDIRECT(Hours[[#This Row],[table]]&amp;"[real time]"),INDIRECT(Hours[[#This Row],[table]]&amp;"[employee]"),C162,INDIRECT(Hours[[#This Row],[table]]&amp;"[date]"),F162,INDIRECT(Hours[[#This Row],[table]]&amp;"[code]"),"m"),"")</f>
        <v>0</v>
      </c>
      <c r="N162" s="36">
        <f ca="1">IFERROR(SUMIFS(INDIRECT(Hours[[#This Row],[table]]&amp;"[real time]"),INDIRECT(Hours[[#This Row],[table]]&amp;"[employee]"),C162,INDIRECT(Hours[[#This Row],[table]]&amp;"[date]"),F162,INDIRECT(Hours[[#This Row],[table]]&amp;"[code]"),"e"),"")</f>
        <v>0</v>
      </c>
    </row>
    <row r="163" spans="1:14" x14ac:dyDescent="0.25">
      <c r="A163" s="28" t="s">
        <v>90</v>
      </c>
      <c r="B163" s="28" t="s">
        <v>91</v>
      </c>
      <c r="C163" s="1" t="s">
        <v>92</v>
      </c>
      <c r="D163" s="32" t="str">
        <f>IF(NOT(ISBLANK(Hours[[#This Row],[employee]])),IF(ISNUMBER(Hours[[#This Row],[employee]]),"REG","CON"),"")</f>
        <v>CON</v>
      </c>
      <c r="E163" s="32" t="str">
        <f>IF(Hours[[#This Row],[cat]]="CON","Contractors",IF(Hours[[#This Row],[cat]]="REG","Employees",""))</f>
        <v>Contractors</v>
      </c>
      <c r="F163" s="34">
        <v>44164</v>
      </c>
      <c r="G163" s="35">
        <v>0.67847222222222225</v>
      </c>
      <c r="H163" s="35">
        <v>8.4027777777777771E-2</v>
      </c>
      <c r="I163" s="29">
        <f>IF(H163&lt;G163,24+H163-G163,H163-G163)</f>
        <v>23.405555555555555</v>
      </c>
      <c r="J163" s="36">
        <v>0.375</v>
      </c>
      <c r="K163" s="36">
        <f ca="1">IFERROR(SUMIFS(INDIRECT(Hours[[#This Row],[table]]&amp;"[real time]"),INDIRECT(Hours[[#This Row],[table]]&amp;"[employee]"),C163,INDIRECT(Hours[[#This Row],[table]]&amp;"[date]"),F163),"")</f>
        <v>0</v>
      </c>
      <c r="L163" s="36">
        <f ca="1">IFERROR(SUM(SUMIFS(INDIRECT(Hours[[#This Row],[table]]&amp;"[real time]"),INDIRECT(Hours[[#This Row],[table]]&amp;"[employee]"),C163,INDIRECT(Hours[[#This Row],[table]]&amp;"[date]"),F163,INDIRECT(Hours[[#This Row],[table]]&amp;"[code]"),{"a","x",""})),"")</f>
        <v>0</v>
      </c>
      <c r="M163" s="36">
        <f ca="1">IFERROR(SUMIFS(INDIRECT(Hours[[#This Row],[table]]&amp;"[real time]"),INDIRECT(Hours[[#This Row],[table]]&amp;"[employee]"),C163,INDIRECT(Hours[[#This Row],[table]]&amp;"[date]"),F163,INDIRECT(Hours[[#This Row],[table]]&amp;"[code]"),"m"),"")</f>
        <v>0</v>
      </c>
      <c r="N163" s="36">
        <f ca="1">IFERROR(SUMIFS(INDIRECT(Hours[[#This Row],[table]]&amp;"[real time]"),INDIRECT(Hours[[#This Row],[table]]&amp;"[employee]"),C163,INDIRECT(Hours[[#This Row],[table]]&amp;"[date]"),F163,INDIRECT(Hours[[#This Row],[table]]&amp;"[code]"),"e"),"")</f>
        <v>0</v>
      </c>
    </row>
    <row r="164" spans="1:14" x14ac:dyDescent="0.25">
      <c r="A164" s="28" t="s">
        <v>90</v>
      </c>
      <c r="B164" s="28" t="s">
        <v>91</v>
      </c>
      <c r="C164" s="1" t="s">
        <v>92</v>
      </c>
      <c r="D164" s="32" t="str">
        <f>IF(NOT(ISBLANK(Hours[[#This Row],[employee]])),IF(ISNUMBER(Hours[[#This Row],[employee]]),"REG","CON"),"")</f>
        <v>CON</v>
      </c>
      <c r="E164" s="32" t="str">
        <f>IF(Hours[[#This Row],[cat]]="CON","Contractors",IF(Hours[[#This Row],[cat]]="REG","Employees",""))</f>
        <v>Contractors</v>
      </c>
      <c r="F164" s="34">
        <v>44165</v>
      </c>
      <c r="G164" s="35">
        <v>0.68125000000000002</v>
      </c>
      <c r="H164" s="35">
        <v>8.4027777777777771E-2</v>
      </c>
      <c r="I164" s="29">
        <f>IF(H164&lt;G164,24+H164-G164,H164-G164)</f>
        <v>23.402777777777779</v>
      </c>
      <c r="J164" s="36">
        <v>0.375</v>
      </c>
      <c r="K164" s="36">
        <f ca="1">IFERROR(SUMIFS(INDIRECT(Hours[[#This Row],[table]]&amp;"[real time]"),INDIRECT(Hours[[#This Row],[table]]&amp;"[employee]"),C164,INDIRECT(Hours[[#This Row],[table]]&amp;"[date]"),F164),"")</f>
        <v>0</v>
      </c>
      <c r="L164" s="36">
        <f ca="1">IFERROR(SUM(SUMIFS(INDIRECT(Hours[[#This Row],[table]]&amp;"[real time]"),INDIRECT(Hours[[#This Row],[table]]&amp;"[employee]"),C164,INDIRECT(Hours[[#This Row],[table]]&amp;"[date]"),F164,INDIRECT(Hours[[#This Row],[table]]&amp;"[code]"),{"a","x",""})),"")</f>
        <v>0</v>
      </c>
      <c r="M164" s="36">
        <f ca="1">IFERROR(SUMIFS(INDIRECT(Hours[[#This Row],[table]]&amp;"[real time]"),INDIRECT(Hours[[#This Row],[table]]&amp;"[employee]"),C164,INDIRECT(Hours[[#This Row],[table]]&amp;"[date]"),F164,INDIRECT(Hours[[#This Row],[table]]&amp;"[code]"),"m"),"")</f>
        <v>0</v>
      </c>
      <c r="N164" s="36">
        <f ca="1">IFERROR(SUMIFS(INDIRECT(Hours[[#This Row],[table]]&amp;"[real time]"),INDIRECT(Hours[[#This Row],[table]]&amp;"[employee]"),C164,INDIRECT(Hours[[#This Row],[table]]&amp;"[date]"),F164,INDIRECT(Hours[[#This Row],[table]]&amp;"[code]"),"e"),"")</f>
        <v>0</v>
      </c>
    </row>
    <row r="165" spans="1:14" x14ac:dyDescent="0.25">
      <c r="A165" s="28" t="s">
        <v>90</v>
      </c>
      <c r="B165" s="28" t="s">
        <v>91</v>
      </c>
      <c r="C165" s="1" t="s">
        <v>92</v>
      </c>
      <c r="D165" s="32" t="str">
        <f>IF(NOT(ISBLANK(Hours[[#This Row],[employee]])),IF(ISNUMBER(Hours[[#This Row],[employee]]),"REG","CON"),"")</f>
        <v>CON</v>
      </c>
      <c r="E165" s="32" t="str">
        <f>IF(Hours[[#This Row],[cat]]="CON","Contractors",IF(Hours[[#This Row],[cat]]="REG","Employees",""))</f>
        <v>Contractors</v>
      </c>
      <c r="F165" s="34">
        <v>44166</v>
      </c>
      <c r="G165" s="35">
        <v>0.68125000000000002</v>
      </c>
      <c r="H165" s="35">
        <v>8.3333333333333329E-2</v>
      </c>
      <c r="I165" s="29">
        <f>IF(H165&lt;G165,24+H165-G165,H165-G165)</f>
        <v>23.402083333333334</v>
      </c>
      <c r="J165" s="36">
        <v>0.375</v>
      </c>
      <c r="K165" s="36">
        <f ca="1">IFERROR(SUMIFS(INDIRECT(Hours[[#This Row],[table]]&amp;"[real time]"),INDIRECT(Hours[[#This Row],[table]]&amp;"[employee]"),C165,INDIRECT(Hours[[#This Row],[table]]&amp;"[date]"),F165),"")</f>
        <v>0</v>
      </c>
      <c r="L165" s="36">
        <f ca="1">IFERROR(SUM(SUMIFS(INDIRECT(Hours[[#This Row],[table]]&amp;"[real time]"),INDIRECT(Hours[[#This Row],[table]]&amp;"[employee]"),C165,INDIRECT(Hours[[#This Row],[table]]&amp;"[date]"),F165,INDIRECT(Hours[[#This Row],[table]]&amp;"[code]"),{"a","x",""})),"")</f>
        <v>0</v>
      </c>
      <c r="M165" s="36">
        <f ca="1">IFERROR(SUMIFS(INDIRECT(Hours[[#This Row],[table]]&amp;"[real time]"),INDIRECT(Hours[[#This Row],[table]]&amp;"[employee]"),C165,INDIRECT(Hours[[#This Row],[table]]&amp;"[date]"),F165,INDIRECT(Hours[[#This Row],[table]]&amp;"[code]"),"m"),"")</f>
        <v>0</v>
      </c>
      <c r="N165" s="36">
        <f ca="1">IFERROR(SUMIFS(INDIRECT(Hours[[#This Row],[table]]&amp;"[real time]"),INDIRECT(Hours[[#This Row],[table]]&amp;"[employee]"),C165,INDIRECT(Hours[[#This Row],[table]]&amp;"[date]"),F165,INDIRECT(Hours[[#This Row],[table]]&amp;"[code]"),"e"),"")</f>
        <v>0</v>
      </c>
    </row>
    <row r="166" spans="1:14" x14ac:dyDescent="0.25">
      <c r="A166" s="28" t="s">
        <v>90</v>
      </c>
      <c r="B166" s="28" t="s">
        <v>91</v>
      </c>
      <c r="C166" s="1" t="s">
        <v>92</v>
      </c>
      <c r="D166" s="32" t="str">
        <f>IF(NOT(ISBLANK(Hours[[#This Row],[employee]])),IF(ISNUMBER(Hours[[#This Row],[employee]]),"REG","CON"),"")</f>
        <v>CON</v>
      </c>
      <c r="E166" s="32" t="str">
        <f>IF(Hours[[#This Row],[cat]]="CON","Contractors",IF(Hours[[#This Row],[cat]]="REG","Employees",""))</f>
        <v>Contractors</v>
      </c>
      <c r="F166" s="34">
        <v>44167</v>
      </c>
      <c r="G166" s="35">
        <v>0.68611111111111101</v>
      </c>
      <c r="H166" s="35">
        <v>8.4027777777777771E-2</v>
      </c>
      <c r="I166" s="29">
        <f>IF(H166&lt;G166,24+H166-G166,H166-G166)</f>
        <v>23.397916666666667</v>
      </c>
      <c r="J166" s="36">
        <v>0.375</v>
      </c>
      <c r="K166" s="36">
        <f ca="1">IFERROR(SUMIFS(INDIRECT(Hours[[#This Row],[table]]&amp;"[real time]"),INDIRECT(Hours[[#This Row],[table]]&amp;"[employee]"),C166,INDIRECT(Hours[[#This Row],[table]]&amp;"[date]"),F166),"")</f>
        <v>0</v>
      </c>
      <c r="L166" s="36">
        <f ca="1">IFERROR(SUM(SUMIFS(INDIRECT(Hours[[#This Row],[table]]&amp;"[real time]"),INDIRECT(Hours[[#This Row],[table]]&amp;"[employee]"),C166,INDIRECT(Hours[[#This Row],[table]]&amp;"[date]"),F166,INDIRECT(Hours[[#This Row],[table]]&amp;"[code]"),{"a","x",""})),"")</f>
        <v>0</v>
      </c>
      <c r="M166" s="36">
        <f ca="1">IFERROR(SUMIFS(INDIRECT(Hours[[#This Row],[table]]&amp;"[real time]"),INDIRECT(Hours[[#This Row],[table]]&amp;"[employee]"),C166,INDIRECT(Hours[[#This Row],[table]]&amp;"[date]"),F166,INDIRECT(Hours[[#This Row],[table]]&amp;"[code]"),"m"),"")</f>
        <v>0</v>
      </c>
      <c r="N166" s="36">
        <f ca="1">IFERROR(SUMIFS(INDIRECT(Hours[[#This Row],[table]]&amp;"[real time]"),INDIRECT(Hours[[#This Row],[table]]&amp;"[employee]"),C166,INDIRECT(Hours[[#This Row],[table]]&amp;"[date]"),F166,INDIRECT(Hours[[#This Row],[table]]&amp;"[code]"),"e"),"")</f>
        <v>0</v>
      </c>
    </row>
    <row r="167" spans="1:14" x14ac:dyDescent="0.25">
      <c r="A167" s="28" t="s">
        <v>90</v>
      </c>
      <c r="B167" s="28" t="s">
        <v>91</v>
      </c>
      <c r="C167" s="1" t="s">
        <v>92</v>
      </c>
      <c r="D167" s="32" t="str">
        <f>IF(NOT(ISBLANK(Hours[[#This Row],[employee]])),IF(ISNUMBER(Hours[[#This Row],[employee]]),"REG","CON"),"")</f>
        <v>CON</v>
      </c>
      <c r="E167" s="32" t="str">
        <f>IF(Hours[[#This Row],[cat]]="CON","Contractors",IF(Hours[[#This Row],[cat]]="REG","Employees",""))</f>
        <v>Contractors</v>
      </c>
      <c r="F167" s="34">
        <v>44168</v>
      </c>
      <c r="G167" s="35">
        <v>0.67986111111111114</v>
      </c>
      <c r="H167" s="35">
        <v>8.3333333333333329E-2</v>
      </c>
      <c r="I167" s="29">
        <f>IF(H167&lt;G167,24+H167-G167,H167-G167)</f>
        <v>23.40347222222222</v>
      </c>
      <c r="J167" s="36">
        <v>0.375</v>
      </c>
      <c r="K167" s="36">
        <f ca="1">IFERROR(SUMIFS(INDIRECT(Hours[[#This Row],[table]]&amp;"[real time]"),INDIRECT(Hours[[#This Row],[table]]&amp;"[employee]"),C167,INDIRECT(Hours[[#This Row],[table]]&amp;"[date]"),F167),"")</f>
        <v>0</v>
      </c>
      <c r="L167" s="36">
        <f ca="1">IFERROR(SUM(SUMIFS(INDIRECT(Hours[[#This Row],[table]]&amp;"[real time]"),INDIRECT(Hours[[#This Row],[table]]&amp;"[employee]"),C167,INDIRECT(Hours[[#This Row],[table]]&amp;"[date]"),F167,INDIRECT(Hours[[#This Row],[table]]&amp;"[code]"),{"a","x",""})),"")</f>
        <v>0</v>
      </c>
      <c r="M167" s="36">
        <f ca="1">IFERROR(SUMIFS(INDIRECT(Hours[[#This Row],[table]]&amp;"[real time]"),INDIRECT(Hours[[#This Row],[table]]&amp;"[employee]"),C167,INDIRECT(Hours[[#This Row],[table]]&amp;"[date]"),F167,INDIRECT(Hours[[#This Row],[table]]&amp;"[code]"),"m"),"")</f>
        <v>0</v>
      </c>
      <c r="N167" s="36">
        <f ca="1">IFERROR(SUMIFS(INDIRECT(Hours[[#This Row],[table]]&amp;"[real time]"),INDIRECT(Hours[[#This Row],[table]]&amp;"[employee]"),C167,INDIRECT(Hours[[#This Row],[table]]&amp;"[date]"),F167,INDIRECT(Hours[[#This Row],[table]]&amp;"[code]"),"e"),"")</f>
        <v>0</v>
      </c>
    </row>
    <row r="168" spans="1:14" x14ac:dyDescent="0.25">
      <c r="A168" s="28" t="s">
        <v>90</v>
      </c>
      <c r="B168" s="28" t="s">
        <v>91</v>
      </c>
      <c r="C168" s="1" t="s">
        <v>92</v>
      </c>
      <c r="D168" s="32" t="str">
        <f>IF(NOT(ISBLANK(Hours[[#This Row],[employee]])),IF(ISNUMBER(Hours[[#This Row],[employee]]),"REG","CON"),"")</f>
        <v>CON</v>
      </c>
      <c r="E168" s="32" t="str">
        <f>IF(Hours[[#This Row],[cat]]="CON","Contractors",IF(Hours[[#This Row],[cat]]="REG","Employees",""))</f>
        <v>Contractors</v>
      </c>
      <c r="F168" s="34">
        <v>44169</v>
      </c>
      <c r="G168" s="35">
        <v>0.68333333333333324</v>
      </c>
      <c r="H168" s="35">
        <v>4.1666666666666664E-2</v>
      </c>
      <c r="I168" s="29">
        <f>IF(H168&lt;G168,24+H168-G168,H168-G168)</f>
        <v>23.358333333333334</v>
      </c>
      <c r="J168" s="36">
        <v>0.33333333333333331</v>
      </c>
      <c r="K168" s="36">
        <f ca="1">IFERROR(SUMIFS(INDIRECT(Hours[[#This Row],[table]]&amp;"[real time]"),INDIRECT(Hours[[#This Row],[table]]&amp;"[employee]"),C168,INDIRECT(Hours[[#This Row],[table]]&amp;"[date]"),F168),"")</f>
        <v>0</v>
      </c>
      <c r="L168" s="36">
        <f ca="1">IFERROR(SUM(SUMIFS(INDIRECT(Hours[[#This Row],[table]]&amp;"[real time]"),INDIRECT(Hours[[#This Row],[table]]&amp;"[employee]"),C168,INDIRECT(Hours[[#This Row],[table]]&amp;"[date]"),F168,INDIRECT(Hours[[#This Row],[table]]&amp;"[code]"),{"a","x",""})),"")</f>
        <v>0</v>
      </c>
      <c r="M168" s="36">
        <f ca="1">IFERROR(SUMIFS(INDIRECT(Hours[[#This Row],[table]]&amp;"[real time]"),INDIRECT(Hours[[#This Row],[table]]&amp;"[employee]"),C168,INDIRECT(Hours[[#This Row],[table]]&amp;"[date]"),F168,INDIRECT(Hours[[#This Row],[table]]&amp;"[code]"),"m"),"")</f>
        <v>0</v>
      </c>
      <c r="N168" s="36">
        <f ca="1">IFERROR(SUMIFS(INDIRECT(Hours[[#This Row],[table]]&amp;"[real time]"),INDIRECT(Hours[[#This Row],[table]]&amp;"[employee]"),C168,INDIRECT(Hours[[#This Row],[table]]&amp;"[date]"),F168,INDIRECT(Hours[[#This Row],[table]]&amp;"[code]"),"e"),"")</f>
        <v>0</v>
      </c>
    </row>
    <row r="169" spans="1:14" x14ac:dyDescent="0.25">
      <c r="A169" s="28" t="s">
        <v>93</v>
      </c>
      <c r="B169" s="28" t="s">
        <v>94</v>
      </c>
      <c r="C169" s="1" t="s">
        <v>41</v>
      </c>
      <c r="D169" s="32" t="str">
        <f>IF(NOT(ISBLANK(Hours[[#This Row],[employee]])),IF(ISNUMBER(Hours[[#This Row],[employee]]),"REG","CON"),"")</f>
        <v>CON</v>
      </c>
      <c r="E169" s="32" t="str">
        <f>IF(Hours[[#This Row],[cat]]="CON","Contractors",IF(Hours[[#This Row],[cat]]="REG","Employees",""))</f>
        <v>Contractors</v>
      </c>
      <c r="F169" s="34">
        <v>44161</v>
      </c>
      <c r="G169" s="35">
        <v>0.26527777777777778</v>
      </c>
      <c r="H169" s="35">
        <v>0.66666666666666663</v>
      </c>
      <c r="I169" s="29">
        <f>IF(H169&lt;G169,24+H169-G169,H169-G169)</f>
        <v>0.40138888888888885</v>
      </c>
      <c r="J169" s="36">
        <v>0.375</v>
      </c>
      <c r="K169" s="36">
        <f ca="1">IFERROR(SUMIFS(INDIRECT(Hours[[#This Row],[table]]&amp;"[real time]"),INDIRECT(Hours[[#This Row],[table]]&amp;"[employee]"),C169,INDIRECT(Hours[[#This Row],[table]]&amp;"[date]"),F169),"")</f>
        <v>0</v>
      </c>
      <c r="L169" s="36">
        <f ca="1">IFERROR(SUM(SUMIFS(INDIRECT(Hours[[#This Row],[table]]&amp;"[real time]"),INDIRECT(Hours[[#This Row],[table]]&amp;"[employee]"),C169,INDIRECT(Hours[[#This Row],[table]]&amp;"[date]"),F169,INDIRECT(Hours[[#This Row],[table]]&amp;"[code]"),{"a","x",""})),"")</f>
        <v>0</v>
      </c>
      <c r="M169" s="36">
        <f ca="1">IFERROR(SUMIFS(INDIRECT(Hours[[#This Row],[table]]&amp;"[real time]"),INDIRECT(Hours[[#This Row],[table]]&amp;"[employee]"),C169,INDIRECT(Hours[[#This Row],[table]]&amp;"[date]"),F169,INDIRECT(Hours[[#This Row],[table]]&amp;"[code]"),"m"),"")</f>
        <v>0</v>
      </c>
      <c r="N169" s="36">
        <f ca="1">IFERROR(SUMIFS(INDIRECT(Hours[[#This Row],[table]]&amp;"[real time]"),INDIRECT(Hours[[#This Row],[table]]&amp;"[employee]"),C169,INDIRECT(Hours[[#This Row],[table]]&amp;"[date]"),F169,INDIRECT(Hours[[#This Row],[table]]&amp;"[code]"),"e"),"")</f>
        <v>0</v>
      </c>
    </row>
    <row r="170" spans="1:14" x14ac:dyDescent="0.25">
      <c r="A170" s="28" t="s">
        <v>93</v>
      </c>
      <c r="B170" s="28" t="s">
        <v>94</v>
      </c>
      <c r="C170" s="1" t="s">
        <v>41</v>
      </c>
      <c r="D170" s="32" t="str">
        <f>IF(NOT(ISBLANK(Hours[[#This Row],[employee]])),IF(ISNUMBER(Hours[[#This Row],[employee]]),"REG","CON"),"")</f>
        <v>CON</v>
      </c>
      <c r="E170" s="32" t="str">
        <f>IF(Hours[[#This Row],[cat]]="CON","Contractors",IF(Hours[[#This Row],[cat]]="REG","Employees",""))</f>
        <v>Contractors</v>
      </c>
      <c r="F170" s="34">
        <v>44162</v>
      </c>
      <c r="G170" s="35">
        <v>0.26666666666666666</v>
      </c>
      <c r="H170" s="35">
        <v>0.66666666666666663</v>
      </c>
      <c r="I170" s="29">
        <f>IF(H170&lt;G170,24+H170-G170,H170-G170)</f>
        <v>0.39999999999999997</v>
      </c>
      <c r="J170" s="36">
        <v>0.375</v>
      </c>
      <c r="K170" s="36">
        <f ca="1">IFERROR(SUMIFS(INDIRECT(Hours[[#This Row],[table]]&amp;"[real time]"),INDIRECT(Hours[[#This Row],[table]]&amp;"[employee]"),C170,INDIRECT(Hours[[#This Row],[table]]&amp;"[date]"),F170),"")</f>
        <v>0</v>
      </c>
      <c r="L170" s="36">
        <f ca="1">IFERROR(SUM(SUMIFS(INDIRECT(Hours[[#This Row],[table]]&amp;"[real time]"),INDIRECT(Hours[[#This Row],[table]]&amp;"[employee]"),C170,INDIRECT(Hours[[#This Row],[table]]&amp;"[date]"),F170,INDIRECT(Hours[[#This Row],[table]]&amp;"[code]"),{"a","x",""})),"")</f>
        <v>0</v>
      </c>
      <c r="M170" s="36">
        <f ca="1">IFERROR(SUMIFS(INDIRECT(Hours[[#This Row],[table]]&amp;"[real time]"),INDIRECT(Hours[[#This Row],[table]]&amp;"[employee]"),C170,INDIRECT(Hours[[#This Row],[table]]&amp;"[date]"),F170,INDIRECT(Hours[[#This Row],[table]]&amp;"[code]"),"m"),"")</f>
        <v>0</v>
      </c>
      <c r="N170" s="36">
        <f ca="1">IFERROR(SUMIFS(INDIRECT(Hours[[#This Row],[table]]&amp;"[real time]"),INDIRECT(Hours[[#This Row],[table]]&amp;"[employee]"),C170,INDIRECT(Hours[[#This Row],[table]]&amp;"[date]"),F170,INDIRECT(Hours[[#This Row],[table]]&amp;"[code]"),"e"),"")</f>
        <v>0</v>
      </c>
    </row>
    <row r="171" spans="1:14" x14ac:dyDescent="0.25">
      <c r="A171" s="28" t="s">
        <v>93</v>
      </c>
      <c r="B171" s="28" t="s">
        <v>94</v>
      </c>
      <c r="C171" s="1" t="s">
        <v>41</v>
      </c>
      <c r="D171" s="32" t="str">
        <f>IF(NOT(ISBLANK(Hours[[#This Row],[employee]])),IF(ISNUMBER(Hours[[#This Row],[employee]]),"REG","CON"),"")</f>
        <v>CON</v>
      </c>
      <c r="E171" s="32" t="str">
        <f>IF(Hours[[#This Row],[cat]]="CON","Contractors",IF(Hours[[#This Row],[cat]]="REG","Employees",""))</f>
        <v>Contractors</v>
      </c>
      <c r="F171" s="34">
        <v>44163</v>
      </c>
      <c r="G171" s="35">
        <v>0.26597222222222222</v>
      </c>
      <c r="H171" s="35">
        <v>0.48055555555555557</v>
      </c>
      <c r="I171" s="29">
        <f>IF(H171&lt;G171,24+H171-G171,H171-G171)</f>
        <v>0.21458333333333335</v>
      </c>
      <c r="J171" s="36">
        <v>0.20833333333333334</v>
      </c>
      <c r="K171" s="36">
        <f ca="1">IFERROR(SUMIFS(INDIRECT(Hours[[#This Row],[table]]&amp;"[real time]"),INDIRECT(Hours[[#This Row],[table]]&amp;"[employee]"),C171,INDIRECT(Hours[[#This Row],[table]]&amp;"[date]"),F171),"")</f>
        <v>0</v>
      </c>
      <c r="L171" s="36">
        <f ca="1">IFERROR(SUM(SUMIFS(INDIRECT(Hours[[#This Row],[table]]&amp;"[real time]"),INDIRECT(Hours[[#This Row],[table]]&amp;"[employee]"),C171,INDIRECT(Hours[[#This Row],[table]]&amp;"[date]"),F171,INDIRECT(Hours[[#This Row],[table]]&amp;"[code]"),{"a","x",""})),"")</f>
        <v>0</v>
      </c>
      <c r="M171" s="36">
        <f ca="1">IFERROR(SUMIFS(INDIRECT(Hours[[#This Row],[table]]&amp;"[real time]"),INDIRECT(Hours[[#This Row],[table]]&amp;"[employee]"),C171,INDIRECT(Hours[[#This Row],[table]]&amp;"[date]"),F171,INDIRECT(Hours[[#This Row],[table]]&amp;"[code]"),"m"),"")</f>
        <v>0</v>
      </c>
      <c r="N171" s="36">
        <f ca="1">IFERROR(SUMIFS(INDIRECT(Hours[[#This Row],[table]]&amp;"[real time]"),INDIRECT(Hours[[#This Row],[table]]&amp;"[employee]"),C171,INDIRECT(Hours[[#This Row],[table]]&amp;"[date]"),F171,INDIRECT(Hours[[#This Row],[table]]&amp;"[code]"),"e"),"")</f>
        <v>0</v>
      </c>
    </row>
    <row r="172" spans="1:14" x14ac:dyDescent="0.25">
      <c r="A172" s="28" t="s">
        <v>93</v>
      </c>
      <c r="B172" s="28" t="s">
        <v>94</v>
      </c>
      <c r="C172" s="1" t="s">
        <v>41</v>
      </c>
      <c r="D172" s="32" t="str">
        <f>IF(NOT(ISBLANK(Hours[[#This Row],[employee]])),IF(ISNUMBER(Hours[[#This Row],[employee]]),"REG","CON"),"")</f>
        <v>CON</v>
      </c>
      <c r="E172" s="32" t="str">
        <f>IF(Hours[[#This Row],[cat]]="CON","Contractors",IF(Hours[[#This Row],[cat]]="REG","Employees",""))</f>
        <v>Contractors</v>
      </c>
      <c r="F172" s="34">
        <v>44165</v>
      </c>
      <c r="G172" s="35">
        <v>0.2673611111111111</v>
      </c>
      <c r="H172" s="35">
        <v>0.66666666666666663</v>
      </c>
      <c r="I172" s="29">
        <f>IF(H172&lt;G172,24+H172-G172,H172-G172)</f>
        <v>0.39930555555555552</v>
      </c>
      <c r="J172" s="36">
        <v>0.375</v>
      </c>
      <c r="K172" s="36">
        <f ca="1">IFERROR(SUMIFS(INDIRECT(Hours[[#This Row],[table]]&amp;"[real time]"),INDIRECT(Hours[[#This Row],[table]]&amp;"[employee]"),C172,INDIRECT(Hours[[#This Row],[table]]&amp;"[date]"),F172),"")</f>
        <v>0</v>
      </c>
      <c r="L172" s="36">
        <f ca="1">IFERROR(SUM(SUMIFS(INDIRECT(Hours[[#This Row],[table]]&amp;"[real time]"),INDIRECT(Hours[[#This Row],[table]]&amp;"[employee]"),C172,INDIRECT(Hours[[#This Row],[table]]&amp;"[date]"),F172,INDIRECT(Hours[[#This Row],[table]]&amp;"[code]"),{"a","x",""})),"")</f>
        <v>0</v>
      </c>
      <c r="M172" s="36">
        <f ca="1">IFERROR(SUMIFS(INDIRECT(Hours[[#This Row],[table]]&amp;"[real time]"),INDIRECT(Hours[[#This Row],[table]]&amp;"[employee]"),C172,INDIRECT(Hours[[#This Row],[table]]&amp;"[date]"),F172,INDIRECT(Hours[[#This Row],[table]]&amp;"[code]"),"m"),"")</f>
        <v>0</v>
      </c>
      <c r="N172" s="36">
        <f ca="1">IFERROR(SUMIFS(INDIRECT(Hours[[#This Row],[table]]&amp;"[real time]"),INDIRECT(Hours[[#This Row],[table]]&amp;"[employee]"),C172,INDIRECT(Hours[[#This Row],[table]]&amp;"[date]"),F172,INDIRECT(Hours[[#This Row],[table]]&amp;"[code]"),"e"),"")</f>
        <v>0</v>
      </c>
    </row>
    <row r="173" spans="1:14" x14ac:dyDescent="0.25">
      <c r="A173" s="28" t="s">
        <v>93</v>
      </c>
      <c r="B173" s="28" t="s">
        <v>94</v>
      </c>
      <c r="C173" s="1" t="s">
        <v>41</v>
      </c>
      <c r="D173" s="32" t="str">
        <f>IF(NOT(ISBLANK(Hours[[#This Row],[employee]])),IF(ISNUMBER(Hours[[#This Row],[employee]]),"REG","CON"),"")</f>
        <v>CON</v>
      </c>
      <c r="E173" s="32" t="str">
        <f>IF(Hours[[#This Row],[cat]]="CON","Contractors",IF(Hours[[#This Row],[cat]]="REG","Employees",""))</f>
        <v>Contractors</v>
      </c>
      <c r="F173" s="34">
        <v>44166</v>
      </c>
      <c r="G173" s="35">
        <v>0.26666666666666666</v>
      </c>
      <c r="H173" s="35">
        <v>0.66666666666666663</v>
      </c>
      <c r="I173" s="29">
        <f>IF(H173&lt;G173,24+H173-G173,H173-G173)</f>
        <v>0.39999999999999997</v>
      </c>
      <c r="J173" s="36">
        <v>0.375</v>
      </c>
      <c r="K173" s="36">
        <f ca="1">IFERROR(SUMIFS(INDIRECT(Hours[[#This Row],[table]]&amp;"[real time]"),INDIRECT(Hours[[#This Row],[table]]&amp;"[employee]"),C173,INDIRECT(Hours[[#This Row],[table]]&amp;"[date]"),F173),"")</f>
        <v>0</v>
      </c>
      <c r="L173" s="36">
        <f ca="1">IFERROR(SUM(SUMIFS(INDIRECT(Hours[[#This Row],[table]]&amp;"[real time]"),INDIRECT(Hours[[#This Row],[table]]&amp;"[employee]"),C173,INDIRECT(Hours[[#This Row],[table]]&amp;"[date]"),F173,INDIRECT(Hours[[#This Row],[table]]&amp;"[code]"),{"a","x",""})),"")</f>
        <v>0</v>
      </c>
      <c r="M173" s="36">
        <f ca="1">IFERROR(SUMIFS(INDIRECT(Hours[[#This Row],[table]]&amp;"[real time]"),INDIRECT(Hours[[#This Row],[table]]&amp;"[employee]"),C173,INDIRECT(Hours[[#This Row],[table]]&amp;"[date]"),F173,INDIRECT(Hours[[#This Row],[table]]&amp;"[code]"),"m"),"")</f>
        <v>0</v>
      </c>
      <c r="N173" s="36">
        <f ca="1">IFERROR(SUMIFS(INDIRECT(Hours[[#This Row],[table]]&amp;"[real time]"),INDIRECT(Hours[[#This Row],[table]]&amp;"[employee]"),C173,INDIRECT(Hours[[#This Row],[table]]&amp;"[date]"),F173,INDIRECT(Hours[[#This Row],[table]]&amp;"[code]"),"e"),"")</f>
        <v>0</v>
      </c>
    </row>
    <row r="174" spans="1:14" x14ac:dyDescent="0.25">
      <c r="A174" s="28" t="s">
        <v>93</v>
      </c>
      <c r="B174" s="28" t="s">
        <v>94</v>
      </c>
      <c r="C174" s="1" t="s">
        <v>41</v>
      </c>
      <c r="D174" s="32" t="str">
        <f>IF(NOT(ISBLANK(Hours[[#This Row],[employee]])),IF(ISNUMBER(Hours[[#This Row],[employee]]),"REG","CON"),"")</f>
        <v>CON</v>
      </c>
      <c r="E174" s="32" t="str">
        <f>IF(Hours[[#This Row],[cat]]="CON","Contractors",IF(Hours[[#This Row],[cat]]="REG","Employees",""))</f>
        <v>Contractors</v>
      </c>
      <c r="F174" s="34">
        <v>44167</v>
      </c>
      <c r="G174" s="35">
        <v>0.26805555555555555</v>
      </c>
      <c r="H174" s="35">
        <v>0.66666666666666663</v>
      </c>
      <c r="I174" s="29">
        <f>IF(H174&lt;G174,24+H174-G174,H174-G174)</f>
        <v>0.39861111111111108</v>
      </c>
      <c r="J174" s="36">
        <v>0.375</v>
      </c>
      <c r="K174" s="36">
        <f ca="1">IFERROR(SUMIFS(INDIRECT(Hours[[#This Row],[table]]&amp;"[real time]"),INDIRECT(Hours[[#This Row],[table]]&amp;"[employee]"),C174,INDIRECT(Hours[[#This Row],[table]]&amp;"[date]"),F174),"")</f>
        <v>0</v>
      </c>
      <c r="L174" s="36">
        <f ca="1">IFERROR(SUM(SUMIFS(INDIRECT(Hours[[#This Row],[table]]&amp;"[real time]"),INDIRECT(Hours[[#This Row],[table]]&amp;"[employee]"),C174,INDIRECT(Hours[[#This Row],[table]]&amp;"[date]"),F174,INDIRECT(Hours[[#This Row],[table]]&amp;"[code]"),{"a","x",""})),"")</f>
        <v>0</v>
      </c>
      <c r="M174" s="36">
        <f ca="1">IFERROR(SUMIFS(INDIRECT(Hours[[#This Row],[table]]&amp;"[real time]"),INDIRECT(Hours[[#This Row],[table]]&amp;"[employee]"),C174,INDIRECT(Hours[[#This Row],[table]]&amp;"[date]"),F174,INDIRECT(Hours[[#This Row],[table]]&amp;"[code]"),"m"),"")</f>
        <v>0</v>
      </c>
      <c r="N174" s="36">
        <f ca="1">IFERROR(SUMIFS(INDIRECT(Hours[[#This Row],[table]]&amp;"[real time]"),INDIRECT(Hours[[#This Row],[table]]&amp;"[employee]"),C174,INDIRECT(Hours[[#This Row],[table]]&amp;"[date]"),F174,INDIRECT(Hours[[#This Row],[table]]&amp;"[code]"),"e"),"")</f>
        <v>0</v>
      </c>
    </row>
    <row r="175" spans="1:14" x14ac:dyDescent="0.25">
      <c r="A175" s="28" t="s">
        <v>93</v>
      </c>
      <c r="B175" s="28" t="s">
        <v>94</v>
      </c>
      <c r="C175" s="1" t="s">
        <v>41</v>
      </c>
      <c r="D175" s="32" t="str">
        <f>IF(NOT(ISBLANK(Hours[[#This Row],[employee]])),IF(ISNUMBER(Hours[[#This Row],[employee]]),"REG","CON"),"")</f>
        <v>CON</v>
      </c>
      <c r="E175" s="32" t="str">
        <f>IF(Hours[[#This Row],[cat]]="CON","Contractors",IF(Hours[[#This Row],[cat]]="REG","Employees",""))</f>
        <v>Contractors</v>
      </c>
      <c r="F175" s="34">
        <v>44168</v>
      </c>
      <c r="G175" s="35">
        <v>0.26597222222222222</v>
      </c>
      <c r="H175" s="35">
        <v>0.66666666666666663</v>
      </c>
      <c r="I175" s="29">
        <f>IF(H175&lt;G175,24+H175-G175,H175-G175)</f>
        <v>0.40069444444444441</v>
      </c>
      <c r="J175" s="36">
        <v>0.375</v>
      </c>
      <c r="K175" s="36">
        <f ca="1">IFERROR(SUMIFS(INDIRECT(Hours[[#This Row],[table]]&amp;"[real time]"),INDIRECT(Hours[[#This Row],[table]]&amp;"[employee]"),C175,INDIRECT(Hours[[#This Row],[table]]&amp;"[date]"),F175),"")</f>
        <v>0</v>
      </c>
      <c r="L175" s="36">
        <f ca="1">IFERROR(SUM(SUMIFS(INDIRECT(Hours[[#This Row],[table]]&amp;"[real time]"),INDIRECT(Hours[[#This Row],[table]]&amp;"[employee]"),C175,INDIRECT(Hours[[#This Row],[table]]&amp;"[date]"),F175,INDIRECT(Hours[[#This Row],[table]]&amp;"[code]"),{"a","x",""})),"")</f>
        <v>0</v>
      </c>
      <c r="M175" s="36">
        <f ca="1">IFERROR(SUMIFS(INDIRECT(Hours[[#This Row],[table]]&amp;"[real time]"),INDIRECT(Hours[[#This Row],[table]]&amp;"[employee]"),C175,INDIRECT(Hours[[#This Row],[table]]&amp;"[date]"),F175,INDIRECT(Hours[[#This Row],[table]]&amp;"[code]"),"m"),"")</f>
        <v>0</v>
      </c>
      <c r="N175" s="36">
        <f ca="1">IFERROR(SUMIFS(INDIRECT(Hours[[#This Row],[table]]&amp;"[real time]"),INDIRECT(Hours[[#This Row],[table]]&amp;"[employee]"),C175,INDIRECT(Hours[[#This Row],[table]]&amp;"[date]"),F175,INDIRECT(Hours[[#This Row],[table]]&amp;"[code]"),"e"),"")</f>
        <v>0</v>
      </c>
    </row>
    <row r="176" spans="1:14" x14ac:dyDescent="0.25">
      <c r="A176" s="28" t="s">
        <v>93</v>
      </c>
      <c r="B176" s="28" t="s">
        <v>94</v>
      </c>
      <c r="C176" s="1" t="s">
        <v>41</v>
      </c>
      <c r="D176" s="32" t="str">
        <f>IF(NOT(ISBLANK(Hours[[#This Row],[employee]])),IF(ISNUMBER(Hours[[#This Row],[employee]]),"REG","CON"),"")</f>
        <v>CON</v>
      </c>
      <c r="E176" s="32" t="str">
        <f>IF(Hours[[#This Row],[cat]]="CON","Contractors",IF(Hours[[#This Row],[cat]]="REG","Employees",""))</f>
        <v>Contractors</v>
      </c>
      <c r="F176" s="34">
        <v>44169</v>
      </c>
      <c r="G176" s="35">
        <v>0.26805555555555555</v>
      </c>
      <c r="H176" s="35">
        <v>0.66666666666666663</v>
      </c>
      <c r="I176" s="29">
        <f>IF(H176&lt;G176,24+H176-G176,H176-G176)</f>
        <v>0.39861111111111108</v>
      </c>
      <c r="J176" s="36">
        <v>0.375</v>
      </c>
      <c r="K176" s="36">
        <f ca="1">IFERROR(SUMIFS(INDIRECT(Hours[[#This Row],[table]]&amp;"[real time]"),INDIRECT(Hours[[#This Row],[table]]&amp;"[employee]"),C176,INDIRECT(Hours[[#This Row],[table]]&amp;"[date]"),F176),"")</f>
        <v>0</v>
      </c>
      <c r="L176" s="36">
        <f ca="1">IFERROR(SUM(SUMIFS(INDIRECT(Hours[[#This Row],[table]]&amp;"[real time]"),INDIRECT(Hours[[#This Row],[table]]&amp;"[employee]"),C176,INDIRECT(Hours[[#This Row],[table]]&amp;"[date]"),F176,INDIRECT(Hours[[#This Row],[table]]&amp;"[code]"),{"a","x",""})),"")</f>
        <v>0</v>
      </c>
      <c r="M176" s="36">
        <f ca="1">IFERROR(SUMIFS(INDIRECT(Hours[[#This Row],[table]]&amp;"[real time]"),INDIRECT(Hours[[#This Row],[table]]&amp;"[employee]"),C176,INDIRECT(Hours[[#This Row],[table]]&amp;"[date]"),F176,INDIRECT(Hours[[#This Row],[table]]&amp;"[code]"),"m"),"")</f>
        <v>0</v>
      </c>
      <c r="N176" s="36">
        <f ca="1">IFERROR(SUMIFS(INDIRECT(Hours[[#This Row],[table]]&amp;"[real time]"),INDIRECT(Hours[[#This Row],[table]]&amp;"[employee]"),C176,INDIRECT(Hours[[#This Row],[table]]&amp;"[date]"),F176,INDIRECT(Hours[[#This Row],[table]]&amp;"[code]"),"e"),"")</f>
        <v>0</v>
      </c>
    </row>
    <row r="177" spans="1:14" x14ac:dyDescent="0.25">
      <c r="A177" s="28" t="s">
        <v>95</v>
      </c>
      <c r="B177" s="28" t="s">
        <v>96</v>
      </c>
      <c r="C177" s="1" t="s">
        <v>97</v>
      </c>
      <c r="D177" s="32" t="str">
        <f>IF(NOT(ISBLANK(Hours[[#This Row],[employee]])),IF(ISNUMBER(Hours[[#This Row],[employee]]),"REG","CON"),"")</f>
        <v>CON</v>
      </c>
      <c r="E177" s="32" t="str">
        <f>IF(Hours[[#This Row],[cat]]="CON","Contractors",IF(Hours[[#This Row],[cat]]="REG","Employees",""))</f>
        <v>Contractors</v>
      </c>
      <c r="F177" s="34">
        <v>44161</v>
      </c>
      <c r="G177" s="35">
        <v>0.26250000000000001</v>
      </c>
      <c r="H177" s="35">
        <v>0.66666666666666663</v>
      </c>
      <c r="I177" s="29">
        <f>IF(H177&lt;G177,24+H177-G177,H177-G177)</f>
        <v>0.40416666666666662</v>
      </c>
      <c r="J177" s="36">
        <v>0.375</v>
      </c>
      <c r="K177" s="36">
        <f ca="1">IFERROR(SUMIFS(INDIRECT(Hours[[#This Row],[table]]&amp;"[real time]"),INDIRECT(Hours[[#This Row],[table]]&amp;"[employee]"),C177,INDIRECT(Hours[[#This Row],[table]]&amp;"[date]"),F177),"")</f>
        <v>0</v>
      </c>
      <c r="L177" s="36">
        <f ca="1">IFERROR(SUM(SUMIFS(INDIRECT(Hours[[#This Row],[table]]&amp;"[real time]"),INDIRECT(Hours[[#This Row],[table]]&amp;"[employee]"),C177,INDIRECT(Hours[[#This Row],[table]]&amp;"[date]"),F177,INDIRECT(Hours[[#This Row],[table]]&amp;"[code]"),{"a","x",""})),"")</f>
        <v>0</v>
      </c>
      <c r="M177" s="36">
        <f ca="1">IFERROR(SUMIFS(INDIRECT(Hours[[#This Row],[table]]&amp;"[real time]"),INDIRECT(Hours[[#This Row],[table]]&amp;"[employee]"),C177,INDIRECT(Hours[[#This Row],[table]]&amp;"[date]"),F177,INDIRECT(Hours[[#This Row],[table]]&amp;"[code]"),"m"),"")</f>
        <v>0</v>
      </c>
      <c r="N177" s="36">
        <f ca="1">IFERROR(SUMIFS(INDIRECT(Hours[[#This Row],[table]]&amp;"[real time]"),INDIRECT(Hours[[#This Row],[table]]&amp;"[employee]"),C177,INDIRECT(Hours[[#This Row],[table]]&amp;"[date]"),F177,INDIRECT(Hours[[#This Row],[table]]&amp;"[code]"),"e"),"")</f>
        <v>0</v>
      </c>
    </row>
    <row r="178" spans="1:14" x14ac:dyDescent="0.25">
      <c r="A178" s="28" t="s">
        <v>95</v>
      </c>
      <c r="B178" s="28" t="s">
        <v>96</v>
      </c>
      <c r="C178" s="1" t="s">
        <v>97</v>
      </c>
      <c r="D178" s="32" t="str">
        <f>IF(NOT(ISBLANK(Hours[[#This Row],[employee]])),IF(ISNUMBER(Hours[[#This Row],[employee]]),"REG","CON"),"")</f>
        <v>CON</v>
      </c>
      <c r="E178" s="32" t="str">
        <f>IF(Hours[[#This Row],[cat]]="CON","Contractors",IF(Hours[[#This Row],[cat]]="REG","Employees",""))</f>
        <v>Contractors</v>
      </c>
      <c r="F178" s="34">
        <v>44162</v>
      </c>
      <c r="G178" s="35">
        <v>0.26458333333333334</v>
      </c>
      <c r="H178" s="35">
        <v>0.66736111111111107</v>
      </c>
      <c r="I178" s="29">
        <f>IF(H178&lt;G178,24+H178-G178,H178-G178)</f>
        <v>0.40277777777777773</v>
      </c>
      <c r="J178" s="36">
        <v>0.375</v>
      </c>
      <c r="K178" s="36">
        <f ca="1">IFERROR(SUMIFS(INDIRECT(Hours[[#This Row],[table]]&amp;"[real time]"),INDIRECT(Hours[[#This Row],[table]]&amp;"[employee]"),C178,INDIRECT(Hours[[#This Row],[table]]&amp;"[date]"),F178),"")</f>
        <v>0</v>
      </c>
      <c r="L178" s="36">
        <f ca="1">IFERROR(SUM(SUMIFS(INDIRECT(Hours[[#This Row],[table]]&amp;"[real time]"),INDIRECT(Hours[[#This Row],[table]]&amp;"[employee]"),C178,INDIRECT(Hours[[#This Row],[table]]&amp;"[date]"),F178,INDIRECT(Hours[[#This Row],[table]]&amp;"[code]"),{"a","x",""})),"")</f>
        <v>0</v>
      </c>
      <c r="M178" s="36">
        <f ca="1">IFERROR(SUMIFS(INDIRECT(Hours[[#This Row],[table]]&amp;"[real time]"),INDIRECT(Hours[[#This Row],[table]]&amp;"[employee]"),C178,INDIRECT(Hours[[#This Row],[table]]&amp;"[date]"),F178,INDIRECT(Hours[[#This Row],[table]]&amp;"[code]"),"m"),"")</f>
        <v>0</v>
      </c>
      <c r="N178" s="36">
        <f ca="1">IFERROR(SUMIFS(INDIRECT(Hours[[#This Row],[table]]&amp;"[real time]"),INDIRECT(Hours[[#This Row],[table]]&amp;"[employee]"),C178,INDIRECT(Hours[[#This Row],[table]]&amp;"[date]"),F178,INDIRECT(Hours[[#This Row],[table]]&amp;"[code]"),"e"),"")</f>
        <v>0</v>
      </c>
    </row>
    <row r="179" spans="1:14" x14ac:dyDescent="0.25">
      <c r="A179" s="28" t="s">
        <v>95</v>
      </c>
      <c r="B179" s="28" t="s">
        <v>96</v>
      </c>
      <c r="C179" s="1" t="s">
        <v>97</v>
      </c>
      <c r="D179" s="32" t="str">
        <f>IF(NOT(ISBLANK(Hours[[#This Row],[employee]])),IF(ISNUMBER(Hours[[#This Row],[employee]]),"REG","CON"),"")</f>
        <v>CON</v>
      </c>
      <c r="E179" s="32" t="str">
        <f>IF(Hours[[#This Row],[cat]]="CON","Contractors",IF(Hours[[#This Row],[cat]]="REG","Employees",""))</f>
        <v>Contractors</v>
      </c>
      <c r="F179" s="34">
        <v>44163</v>
      </c>
      <c r="G179" s="35">
        <v>0.26250000000000001</v>
      </c>
      <c r="H179" s="35">
        <v>0.48402777777777778</v>
      </c>
      <c r="I179" s="29">
        <f>IF(H179&lt;G179,24+H179-G179,H179-G179)</f>
        <v>0.22152777777777777</v>
      </c>
      <c r="J179" s="36">
        <v>0.20833333333333334</v>
      </c>
      <c r="K179" s="36">
        <f ca="1">IFERROR(SUMIFS(INDIRECT(Hours[[#This Row],[table]]&amp;"[real time]"),INDIRECT(Hours[[#This Row],[table]]&amp;"[employee]"),C179,INDIRECT(Hours[[#This Row],[table]]&amp;"[date]"),F179),"")</f>
        <v>0</v>
      </c>
      <c r="L179" s="36">
        <f ca="1">IFERROR(SUM(SUMIFS(INDIRECT(Hours[[#This Row],[table]]&amp;"[real time]"),INDIRECT(Hours[[#This Row],[table]]&amp;"[employee]"),C179,INDIRECT(Hours[[#This Row],[table]]&amp;"[date]"),F179,INDIRECT(Hours[[#This Row],[table]]&amp;"[code]"),{"a","x",""})),"")</f>
        <v>0</v>
      </c>
      <c r="M179" s="36">
        <f ca="1">IFERROR(SUMIFS(INDIRECT(Hours[[#This Row],[table]]&amp;"[real time]"),INDIRECT(Hours[[#This Row],[table]]&amp;"[employee]"),C179,INDIRECT(Hours[[#This Row],[table]]&amp;"[date]"),F179,INDIRECT(Hours[[#This Row],[table]]&amp;"[code]"),"m"),"")</f>
        <v>0</v>
      </c>
      <c r="N179" s="36">
        <f ca="1">IFERROR(SUMIFS(INDIRECT(Hours[[#This Row],[table]]&amp;"[real time]"),INDIRECT(Hours[[#This Row],[table]]&amp;"[employee]"),C179,INDIRECT(Hours[[#This Row],[table]]&amp;"[date]"),F179,INDIRECT(Hours[[#This Row],[table]]&amp;"[code]"),"e"),"")</f>
        <v>0</v>
      </c>
    </row>
    <row r="180" spans="1:14" x14ac:dyDescent="0.25">
      <c r="A180" s="28" t="s">
        <v>95</v>
      </c>
      <c r="B180" s="28" t="s">
        <v>96</v>
      </c>
      <c r="C180" s="1" t="s">
        <v>97</v>
      </c>
      <c r="D180" s="32" t="str">
        <f>IF(NOT(ISBLANK(Hours[[#This Row],[employee]])),IF(ISNUMBER(Hours[[#This Row],[employee]]),"REG","CON"),"")</f>
        <v>CON</v>
      </c>
      <c r="E180" s="32" t="str">
        <f>IF(Hours[[#This Row],[cat]]="CON","Contractors",IF(Hours[[#This Row],[cat]]="REG","Employees",""))</f>
        <v>Contractors</v>
      </c>
      <c r="F180" s="34">
        <v>44165</v>
      </c>
      <c r="G180" s="35">
        <v>0.26250000000000001</v>
      </c>
      <c r="H180" s="35">
        <v>0.66736111111111107</v>
      </c>
      <c r="I180" s="29">
        <f>IF(H180&lt;G180,24+H180-G180,H180-G180)</f>
        <v>0.40486111111111106</v>
      </c>
      <c r="J180" s="36">
        <v>0.375</v>
      </c>
      <c r="K180" s="36">
        <f ca="1">IFERROR(SUMIFS(INDIRECT(Hours[[#This Row],[table]]&amp;"[real time]"),INDIRECT(Hours[[#This Row],[table]]&amp;"[employee]"),C180,INDIRECT(Hours[[#This Row],[table]]&amp;"[date]"),F180),"")</f>
        <v>0</v>
      </c>
      <c r="L180" s="36">
        <f ca="1">IFERROR(SUM(SUMIFS(INDIRECT(Hours[[#This Row],[table]]&amp;"[real time]"),INDIRECT(Hours[[#This Row],[table]]&amp;"[employee]"),C180,INDIRECT(Hours[[#This Row],[table]]&amp;"[date]"),F180,INDIRECT(Hours[[#This Row],[table]]&amp;"[code]"),{"a","x",""})),"")</f>
        <v>0</v>
      </c>
      <c r="M180" s="36">
        <f ca="1">IFERROR(SUMIFS(INDIRECT(Hours[[#This Row],[table]]&amp;"[real time]"),INDIRECT(Hours[[#This Row],[table]]&amp;"[employee]"),C180,INDIRECT(Hours[[#This Row],[table]]&amp;"[date]"),F180,INDIRECT(Hours[[#This Row],[table]]&amp;"[code]"),"m"),"")</f>
        <v>0</v>
      </c>
      <c r="N180" s="36">
        <f ca="1">IFERROR(SUMIFS(INDIRECT(Hours[[#This Row],[table]]&amp;"[real time]"),INDIRECT(Hours[[#This Row],[table]]&amp;"[employee]"),C180,INDIRECT(Hours[[#This Row],[table]]&amp;"[date]"),F180,INDIRECT(Hours[[#This Row],[table]]&amp;"[code]"),"e"),"")</f>
        <v>0</v>
      </c>
    </row>
    <row r="181" spans="1:14" x14ac:dyDescent="0.25">
      <c r="A181" s="28" t="s">
        <v>95</v>
      </c>
      <c r="B181" s="28" t="s">
        <v>96</v>
      </c>
      <c r="C181" s="1" t="s">
        <v>97</v>
      </c>
      <c r="D181" s="32" t="str">
        <f>IF(NOT(ISBLANK(Hours[[#This Row],[employee]])),IF(ISNUMBER(Hours[[#This Row],[employee]]),"REG","CON"),"")</f>
        <v>CON</v>
      </c>
      <c r="E181" s="32" t="str">
        <f>IF(Hours[[#This Row],[cat]]="CON","Contractors",IF(Hours[[#This Row],[cat]]="REG","Employees",""))</f>
        <v>Contractors</v>
      </c>
      <c r="F181" s="34">
        <v>44166</v>
      </c>
      <c r="G181" s="35">
        <v>0.26597222222222222</v>
      </c>
      <c r="H181" s="35">
        <v>0.66805555555555562</v>
      </c>
      <c r="I181" s="29">
        <f>IF(H181&lt;G181,24+H181-G181,H181-G181)</f>
        <v>0.4020833333333334</v>
      </c>
      <c r="J181" s="36">
        <v>0.375</v>
      </c>
      <c r="K181" s="36">
        <f ca="1">IFERROR(SUMIFS(INDIRECT(Hours[[#This Row],[table]]&amp;"[real time]"),INDIRECT(Hours[[#This Row],[table]]&amp;"[employee]"),C181,INDIRECT(Hours[[#This Row],[table]]&amp;"[date]"),F181),"")</f>
        <v>0</v>
      </c>
      <c r="L181" s="36">
        <f ca="1">IFERROR(SUM(SUMIFS(INDIRECT(Hours[[#This Row],[table]]&amp;"[real time]"),INDIRECT(Hours[[#This Row],[table]]&amp;"[employee]"),C181,INDIRECT(Hours[[#This Row],[table]]&amp;"[date]"),F181,INDIRECT(Hours[[#This Row],[table]]&amp;"[code]"),{"a","x",""})),"")</f>
        <v>0</v>
      </c>
      <c r="M181" s="36">
        <f ca="1">IFERROR(SUMIFS(INDIRECT(Hours[[#This Row],[table]]&amp;"[real time]"),INDIRECT(Hours[[#This Row],[table]]&amp;"[employee]"),C181,INDIRECT(Hours[[#This Row],[table]]&amp;"[date]"),F181,INDIRECT(Hours[[#This Row],[table]]&amp;"[code]"),"m"),"")</f>
        <v>0</v>
      </c>
      <c r="N181" s="36">
        <f ca="1">IFERROR(SUMIFS(INDIRECT(Hours[[#This Row],[table]]&amp;"[real time]"),INDIRECT(Hours[[#This Row],[table]]&amp;"[employee]"),C181,INDIRECT(Hours[[#This Row],[table]]&amp;"[date]"),F181,INDIRECT(Hours[[#This Row],[table]]&amp;"[code]"),"e"),"")</f>
        <v>0</v>
      </c>
    </row>
    <row r="182" spans="1:14" x14ac:dyDescent="0.25">
      <c r="A182" s="28" t="s">
        <v>95</v>
      </c>
      <c r="B182" s="28" t="s">
        <v>96</v>
      </c>
      <c r="C182" s="1" t="s">
        <v>97</v>
      </c>
      <c r="D182" s="32" t="str">
        <f>IF(NOT(ISBLANK(Hours[[#This Row],[employee]])),IF(ISNUMBER(Hours[[#This Row],[employee]]),"REG","CON"),"")</f>
        <v>CON</v>
      </c>
      <c r="E182" s="32" t="str">
        <f>IF(Hours[[#This Row],[cat]]="CON","Contractors",IF(Hours[[#This Row],[cat]]="REG","Employees",""))</f>
        <v>Contractors</v>
      </c>
      <c r="F182" s="34">
        <v>44167</v>
      </c>
      <c r="G182" s="35">
        <v>0.26597222222222222</v>
      </c>
      <c r="H182" s="35">
        <v>0.66666666666666663</v>
      </c>
      <c r="I182" s="29">
        <f>IF(H182&lt;G182,24+H182-G182,H182-G182)</f>
        <v>0.40069444444444441</v>
      </c>
      <c r="J182" s="36">
        <v>0.375</v>
      </c>
      <c r="K182" s="36">
        <f ca="1">IFERROR(SUMIFS(INDIRECT(Hours[[#This Row],[table]]&amp;"[real time]"),INDIRECT(Hours[[#This Row],[table]]&amp;"[employee]"),C182,INDIRECT(Hours[[#This Row],[table]]&amp;"[date]"),F182),"")</f>
        <v>0</v>
      </c>
      <c r="L182" s="36">
        <f ca="1">IFERROR(SUM(SUMIFS(INDIRECT(Hours[[#This Row],[table]]&amp;"[real time]"),INDIRECT(Hours[[#This Row],[table]]&amp;"[employee]"),C182,INDIRECT(Hours[[#This Row],[table]]&amp;"[date]"),F182,INDIRECT(Hours[[#This Row],[table]]&amp;"[code]"),{"a","x",""})),"")</f>
        <v>0</v>
      </c>
      <c r="M182" s="36">
        <f ca="1">IFERROR(SUMIFS(INDIRECT(Hours[[#This Row],[table]]&amp;"[real time]"),INDIRECT(Hours[[#This Row],[table]]&amp;"[employee]"),C182,INDIRECT(Hours[[#This Row],[table]]&amp;"[date]"),F182,INDIRECT(Hours[[#This Row],[table]]&amp;"[code]"),"m"),"")</f>
        <v>0</v>
      </c>
      <c r="N182" s="36">
        <f ca="1">IFERROR(SUMIFS(INDIRECT(Hours[[#This Row],[table]]&amp;"[real time]"),INDIRECT(Hours[[#This Row],[table]]&amp;"[employee]"),C182,INDIRECT(Hours[[#This Row],[table]]&amp;"[date]"),F182,INDIRECT(Hours[[#This Row],[table]]&amp;"[code]"),"e"),"")</f>
        <v>0</v>
      </c>
    </row>
    <row r="183" spans="1:14" x14ac:dyDescent="0.25">
      <c r="A183" s="28" t="s">
        <v>95</v>
      </c>
      <c r="B183" s="28" t="s">
        <v>96</v>
      </c>
      <c r="C183" s="1" t="s">
        <v>97</v>
      </c>
      <c r="D183" s="32" t="str">
        <f>IF(NOT(ISBLANK(Hours[[#This Row],[employee]])),IF(ISNUMBER(Hours[[#This Row],[employee]]),"REG","CON"),"")</f>
        <v>CON</v>
      </c>
      <c r="E183" s="32" t="str">
        <f>IF(Hours[[#This Row],[cat]]="CON","Contractors",IF(Hours[[#This Row],[cat]]="REG","Employees",""))</f>
        <v>Contractors</v>
      </c>
      <c r="F183" s="34">
        <v>44168</v>
      </c>
      <c r="G183" s="35">
        <v>0.26597222222222222</v>
      </c>
      <c r="H183" s="35">
        <v>0.66736111111111107</v>
      </c>
      <c r="I183" s="29">
        <f>IF(H183&lt;G183,24+H183-G183,H183-G183)</f>
        <v>0.40138888888888885</v>
      </c>
      <c r="J183" s="36">
        <v>0.375</v>
      </c>
      <c r="K183" s="36">
        <f ca="1">IFERROR(SUMIFS(INDIRECT(Hours[[#This Row],[table]]&amp;"[real time]"),INDIRECT(Hours[[#This Row],[table]]&amp;"[employee]"),C183,INDIRECT(Hours[[#This Row],[table]]&amp;"[date]"),F183),"")</f>
        <v>0</v>
      </c>
      <c r="L183" s="36">
        <f ca="1">IFERROR(SUM(SUMIFS(INDIRECT(Hours[[#This Row],[table]]&amp;"[real time]"),INDIRECT(Hours[[#This Row],[table]]&amp;"[employee]"),C183,INDIRECT(Hours[[#This Row],[table]]&amp;"[date]"),F183,INDIRECT(Hours[[#This Row],[table]]&amp;"[code]"),{"a","x",""})),"")</f>
        <v>0</v>
      </c>
      <c r="M183" s="36">
        <f ca="1">IFERROR(SUMIFS(INDIRECT(Hours[[#This Row],[table]]&amp;"[real time]"),INDIRECT(Hours[[#This Row],[table]]&amp;"[employee]"),C183,INDIRECT(Hours[[#This Row],[table]]&amp;"[date]"),F183,INDIRECT(Hours[[#This Row],[table]]&amp;"[code]"),"m"),"")</f>
        <v>0</v>
      </c>
      <c r="N183" s="36">
        <f ca="1">IFERROR(SUMIFS(INDIRECT(Hours[[#This Row],[table]]&amp;"[real time]"),INDIRECT(Hours[[#This Row],[table]]&amp;"[employee]"),C183,INDIRECT(Hours[[#This Row],[table]]&amp;"[date]"),F183,INDIRECT(Hours[[#This Row],[table]]&amp;"[code]"),"e"),"")</f>
        <v>0</v>
      </c>
    </row>
    <row r="184" spans="1:14" x14ac:dyDescent="0.25">
      <c r="A184" s="28" t="s">
        <v>95</v>
      </c>
      <c r="B184" s="28" t="s">
        <v>96</v>
      </c>
      <c r="C184" s="1" t="s">
        <v>97</v>
      </c>
      <c r="D184" s="32" t="str">
        <f>IF(NOT(ISBLANK(Hours[[#This Row],[employee]])),IF(ISNUMBER(Hours[[#This Row],[employee]]),"REG","CON"),"")</f>
        <v>CON</v>
      </c>
      <c r="E184" s="32" t="str">
        <f>IF(Hours[[#This Row],[cat]]="CON","Contractors",IF(Hours[[#This Row],[cat]]="REG","Employees",""))</f>
        <v>Contractors</v>
      </c>
      <c r="F184" s="34">
        <v>44169</v>
      </c>
      <c r="G184" s="35">
        <v>0.2638888888888889</v>
      </c>
      <c r="H184" s="35">
        <v>0.66736111111111107</v>
      </c>
      <c r="I184" s="29">
        <f>IF(H184&lt;G184,24+H184-G184,H184-G184)</f>
        <v>0.40347222222222218</v>
      </c>
      <c r="J184" s="36">
        <v>0.375</v>
      </c>
      <c r="K184" s="36">
        <f ca="1">IFERROR(SUMIFS(INDIRECT(Hours[[#This Row],[table]]&amp;"[real time]"),INDIRECT(Hours[[#This Row],[table]]&amp;"[employee]"),C184,INDIRECT(Hours[[#This Row],[table]]&amp;"[date]"),F184),"")</f>
        <v>0</v>
      </c>
      <c r="L184" s="36">
        <f ca="1">IFERROR(SUM(SUMIFS(INDIRECT(Hours[[#This Row],[table]]&amp;"[real time]"),INDIRECT(Hours[[#This Row],[table]]&amp;"[employee]"),C184,INDIRECT(Hours[[#This Row],[table]]&amp;"[date]"),F184,INDIRECT(Hours[[#This Row],[table]]&amp;"[code]"),{"a","x",""})),"")</f>
        <v>0</v>
      </c>
      <c r="M184" s="36">
        <f ca="1">IFERROR(SUMIFS(INDIRECT(Hours[[#This Row],[table]]&amp;"[real time]"),INDIRECT(Hours[[#This Row],[table]]&amp;"[employee]"),C184,INDIRECT(Hours[[#This Row],[table]]&amp;"[date]"),F184,INDIRECT(Hours[[#This Row],[table]]&amp;"[code]"),"m"),"")</f>
        <v>0</v>
      </c>
      <c r="N184" s="36">
        <f ca="1">IFERROR(SUMIFS(INDIRECT(Hours[[#This Row],[table]]&amp;"[real time]"),INDIRECT(Hours[[#This Row],[table]]&amp;"[employee]"),C184,INDIRECT(Hours[[#This Row],[table]]&amp;"[date]"),F184,INDIRECT(Hours[[#This Row],[table]]&amp;"[code]"),"e"),"")</f>
        <v>0</v>
      </c>
    </row>
    <row r="185" spans="1:14" x14ac:dyDescent="0.25">
      <c r="A185" s="28" t="s">
        <v>98</v>
      </c>
      <c r="B185" s="28" t="s">
        <v>99</v>
      </c>
      <c r="C185" s="1" t="s">
        <v>100</v>
      </c>
      <c r="D185" s="32" t="str">
        <f>IF(NOT(ISBLANK(Hours[[#This Row],[employee]])),IF(ISNUMBER(Hours[[#This Row],[employee]]),"REG","CON"),"")</f>
        <v>CON</v>
      </c>
      <c r="E185" s="32" t="str">
        <f>IF(Hours[[#This Row],[cat]]="CON","Contractors",IF(Hours[[#This Row],[cat]]="REG","Employees",""))</f>
        <v>Contractors</v>
      </c>
      <c r="F185" s="34">
        <v>44156</v>
      </c>
      <c r="G185" s="35">
        <v>0.28888888888888892</v>
      </c>
      <c r="H185" s="35">
        <v>0.61875000000000002</v>
      </c>
      <c r="I185" s="29">
        <f>IF(H185&lt;G185,24+H185-G185,H185-G185)</f>
        <v>0.3298611111111111</v>
      </c>
      <c r="J185" s="36">
        <v>0.3125</v>
      </c>
      <c r="K185" s="36">
        <f ca="1">IFERROR(SUMIFS(INDIRECT(Hours[[#This Row],[table]]&amp;"[real time]"),INDIRECT(Hours[[#This Row],[table]]&amp;"[employee]"),C185,INDIRECT(Hours[[#This Row],[table]]&amp;"[date]"),F185),"")</f>
        <v>0</v>
      </c>
      <c r="L185" s="36">
        <f ca="1">IFERROR(SUM(SUMIFS(INDIRECT(Hours[[#This Row],[table]]&amp;"[real time]"),INDIRECT(Hours[[#This Row],[table]]&amp;"[employee]"),C185,INDIRECT(Hours[[#This Row],[table]]&amp;"[date]"),F185,INDIRECT(Hours[[#This Row],[table]]&amp;"[code]"),{"a","x",""})),"")</f>
        <v>0</v>
      </c>
      <c r="M185" s="36">
        <f ca="1">IFERROR(SUMIFS(INDIRECT(Hours[[#This Row],[table]]&amp;"[real time]"),INDIRECT(Hours[[#This Row],[table]]&amp;"[employee]"),C185,INDIRECT(Hours[[#This Row],[table]]&amp;"[date]"),F185,INDIRECT(Hours[[#This Row],[table]]&amp;"[code]"),"m"),"")</f>
        <v>0</v>
      </c>
      <c r="N185" s="36">
        <f ca="1">IFERROR(SUMIFS(INDIRECT(Hours[[#This Row],[table]]&amp;"[real time]"),INDIRECT(Hours[[#This Row],[table]]&amp;"[employee]"),C185,INDIRECT(Hours[[#This Row],[table]]&amp;"[date]"),F185,INDIRECT(Hours[[#This Row],[table]]&amp;"[code]"),"e"),"")</f>
        <v>0</v>
      </c>
    </row>
    <row r="186" spans="1:14" x14ac:dyDescent="0.25">
      <c r="A186" s="28" t="s">
        <v>98</v>
      </c>
      <c r="B186" s="28" t="s">
        <v>99</v>
      </c>
      <c r="C186" s="1" t="s">
        <v>100</v>
      </c>
      <c r="D186" s="32" t="str">
        <f>IF(NOT(ISBLANK(Hours[[#This Row],[employee]])),IF(ISNUMBER(Hours[[#This Row],[employee]]),"REG","CON"),"")</f>
        <v>CON</v>
      </c>
      <c r="E186" s="32" t="str">
        <f>IF(Hours[[#This Row],[cat]]="CON","Contractors",IF(Hours[[#This Row],[cat]]="REG","Employees",""))</f>
        <v>Contractors</v>
      </c>
      <c r="F186" s="34">
        <v>44159</v>
      </c>
      <c r="G186" s="35">
        <v>0.26944444444444443</v>
      </c>
      <c r="H186" s="35">
        <v>0.67361111111111116</v>
      </c>
      <c r="I186" s="29">
        <f>IF(H186&lt;G186,24+H186-G186,H186-G186)</f>
        <v>0.40416666666666673</v>
      </c>
      <c r="J186" s="36">
        <v>0.375</v>
      </c>
      <c r="K186" s="36">
        <f ca="1">IFERROR(SUMIFS(INDIRECT(Hours[[#This Row],[table]]&amp;"[real time]"),INDIRECT(Hours[[#This Row],[table]]&amp;"[employee]"),C186,INDIRECT(Hours[[#This Row],[table]]&amp;"[date]"),F186),"")</f>
        <v>0</v>
      </c>
      <c r="L186" s="36">
        <f ca="1">IFERROR(SUM(SUMIFS(INDIRECT(Hours[[#This Row],[table]]&amp;"[real time]"),INDIRECT(Hours[[#This Row],[table]]&amp;"[employee]"),C186,INDIRECT(Hours[[#This Row],[table]]&amp;"[date]"),F186,INDIRECT(Hours[[#This Row],[table]]&amp;"[code]"),{"a","x",""})),"")</f>
        <v>0</v>
      </c>
      <c r="M186" s="36">
        <f ca="1">IFERROR(SUMIFS(INDIRECT(Hours[[#This Row],[table]]&amp;"[real time]"),INDIRECT(Hours[[#This Row],[table]]&amp;"[employee]"),C186,INDIRECT(Hours[[#This Row],[table]]&amp;"[date]"),F186,INDIRECT(Hours[[#This Row],[table]]&amp;"[code]"),"m"),"")</f>
        <v>0</v>
      </c>
      <c r="N186" s="36">
        <f ca="1">IFERROR(SUMIFS(INDIRECT(Hours[[#This Row],[table]]&amp;"[real time]"),INDIRECT(Hours[[#This Row],[table]]&amp;"[employee]"),C186,INDIRECT(Hours[[#This Row],[table]]&amp;"[date]"),F186,INDIRECT(Hours[[#This Row],[table]]&amp;"[code]"),"e"),"")</f>
        <v>0</v>
      </c>
    </row>
    <row r="187" spans="1:14" x14ac:dyDescent="0.25">
      <c r="A187" s="28" t="s">
        <v>98</v>
      </c>
      <c r="B187" s="28" t="s">
        <v>99</v>
      </c>
      <c r="C187" s="1" t="s">
        <v>100</v>
      </c>
      <c r="D187" s="32" t="str">
        <f>IF(NOT(ISBLANK(Hours[[#This Row],[employee]])),IF(ISNUMBER(Hours[[#This Row],[employee]]),"REG","CON"),"")</f>
        <v>CON</v>
      </c>
      <c r="E187" s="32" t="str">
        <f>IF(Hours[[#This Row],[cat]]="CON","Contractors",IF(Hours[[#This Row],[cat]]="REG","Employees",""))</f>
        <v>Contractors</v>
      </c>
      <c r="F187" s="34">
        <v>44160</v>
      </c>
      <c r="G187" s="35">
        <v>0.34791666666666665</v>
      </c>
      <c r="H187" s="35">
        <v>0.64652777777777781</v>
      </c>
      <c r="I187" s="29">
        <f>IF(H187&lt;G187,24+H187-G187,H187-G187)</f>
        <v>0.29861111111111116</v>
      </c>
      <c r="J187" s="36">
        <v>0.3125</v>
      </c>
      <c r="K187" s="36">
        <f ca="1">IFERROR(SUMIFS(INDIRECT(Hours[[#This Row],[table]]&amp;"[real time]"),INDIRECT(Hours[[#This Row],[table]]&amp;"[employee]"),C187,INDIRECT(Hours[[#This Row],[table]]&amp;"[date]"),F187),"")</f>
        <v>0</v>
      </c>
      <c r="L187" s="36">
        <f ca="1">IFERROR(SUM(SUMIFS(INDIRECT(Hours[[#This Row],[table]]&amp;"[real time]"),INDIRECT(Hours[[#This Row],[table]]&amp;"[employee]"),C187,INDIRECT(Hours[[#This Row],[table]]&amp;"[date]"),F187,INDIRECT(Hours[[#This Row],[table]]&amp;"[code]"),{"a","x",""})),"")</f>
        <v>0</v>
      </c>
      <c r="M187" s="36">
        <f ca="1">IFERROR(SUMIFS(INDIRECT(Hours[[#This Row],[table]]&amp;"[real time]"),INDIRECT(Hours[[#This Row],[table]]&amp;"[employee]"),C187,INDIRECT(Hours[[#This Row],[table]]&amp;"[date]"),F187,INDIRECT(Hours[[#This Row],[table]]&amp;"[code]"),"m"),"")</f>
        <v>0</v>
      </c>
      <c r="N187" s="36">
        <f ca="1">IFERROR(SUMIFS(INDIRECT(Hours[[#This Row],[table]]&amp;"[real time]"),INDIRECT(Hours[[#This Row],[table]]&amp;"[employee]"),C187,INDIRECT(Hours[[#This Row],[table]]&amp;"[date]"),F187,INDIRECT(Hours[[#This Row],[table]]&amp;"[code]"),"e"),"")</f>
        <v>0</v>
      </c>
    </row>
    <row r="188" spans="1:14" x14ac:dyDescent="0.25">
      <c r="A188" s="28" t="s">
        <v>98</v>
      </c>
      <c r="B188" s="28" t="s">
        <v>99</v>
      </c>
      <c r="C188" s="1" t="s">
        <v>100</v>
      </c>
      <c r="D188" s="32" t="str">
        <f>IF(NOT(ISBLANK(Hours[[#This Row],[employee]])),IF(ISNUMBER(Hours[[#This Row],[employee]]),"REG","CON"),"")</f>
        <v>CON</v>
      </c>
      <c r="E188" s="32" t="str">
        <f>IF(Hours[[#This Row],[cat]]="CON","Contractors",IF(Hours[[#This Row],[cat]]="REG","Employees",""))</f>
        <v>Contractors</v>
      </c>
      <c r="F188" s="34">
        <v>44161</v>
      </c>
      <c r="G188" s="35">
        <v>0.27499999999999997</v>
      </c>
      <c r="H188" s="35">
        <v>0.64027777777777783</v>
      </c>
      <c r="I188" s="29">
        <f>IF(H188&lt;G188,24+H188-G188,H188-G188)</f>
        <v>0.36527777777777787</v>
      </c>
      <c r="J188" s="36">
        <v>0.33333333333333331</v>
      </c>
      <c r="K188" s="36">
        <f ca="1">IFERROR(SUMIFS(INDIRECT(Hours[[#This Row],[table]]&amp;"[real time]"),INDIRECT(Hours[[#This Row],[table]]&amp;"[employee]"),C188,INDIRECT(Hours[[#This Row],[table]]&amp;"[date]"),F188),"")</f>
        <v>0</v>
      </c>
      <c r="L188" s="36">
        <f ca="1">IFERROR(SUM(SUMIFS(INDIRECT(Hours[[#This Row],[table]]&amp;"[real time]"),INDIRECT(Hours[[#This Row],[table]]&amp;"[employee]"),C188,INDIRECT(Hours[[#This Row],[table]]&amp;"[date]"),F188,INDIRECT(Hours[[#This Row],[table]]&amp;"[code]"),{"a","x",""})),"")</f>
        <v>0</v>
      </c>
      <c r="M188" s="36">
        <f ca="1">IFERROR(SUMIFS(INDIRECT(Hours[[#This Row],[table]]&amp;"[real time]"),INDIRECT(Hours[[#This Row],[table]]&amp;"[employee]"),C188,INDIRECT(Hours[[#This Row],[table]]&amp;"[date]"),F188,INDIRECT(Hours[[#This Row],[table]]&amp;"[code]"),"m"),"")</f>
        <v>0</v>
      </c>
      <c r="N188" s="36">
        <f ca="1">IFERROR(SUMIFS(INDIRECT(Hours[[#This Row],[table]]&amp;"[real time]"),INDIRECT(Hours[[#This Row],[table]]&amp;"[employee]"),C188,INDIRECT(Hours[[#This Row],[table]]&amp;"[date]"),F188,INDIRECT(Hours[[#This Row],[table]]&amp;"[code]"),"e"),"")</f>
        <v>0</v>
      </c>
    </row>
    <row r="189" spans="1:14" x14ac:dyDescent="0.25">
      <c r="A189" s="28" t="s">
        <v>98</v>
      </c>
      <c r="B189" s="28" t="s">
        <v>99</v>
      </c>
      <c r="C189" s="1" t="s">
        <v>100</v>
      </c>
      <c r="D189" s="32" t="str">
        <f>IF(NOT(ISBLANK(Hours[[#This Row],[employee]])),IF(ISNUMBER(Hours[[#This Row],[employee]]),"REG","CON"),"")</f>
        <v>CON</v>
      </c>
      <c r="E189" s="32" t="str">
        <f>IF(Hours[[#This Row],[cat]]="CON","Contractors",IF(Hours[[#This Row],[cat]]="REG","Employees",""))</f>
        <v>Contractors</v>
      </c>
      <c r="F189" s="34">
        <v>44162</v>
      </c>
      <c r="G189" s="35">
        <v>0.63750000000000007</v>
      </c>
      <c r="H189" s="35">
        <v>8.1250000000000003E-2</v>
      </c>
      <c r="I189" s="29">
        <f>IF(H189&lt;G189,24+H189-G189,H189-G189)</f>
        <v>23.443750000000001</v>
      </c>
      <c r="J189" s="36">
        <v>0.41666666666666669</v>
      </c>
      <c r="K189" s="36">
        <f ca="1">IFERROR(SUMIFS(INDIRECT(Hours[[#This Row],[table]]&amp;"[real time]"),INDIRECT(Hours[[#This Row],[table]]&amp;"[employee]"),C189,INDIRECT(Hours[[#This Row],[table]]&amp;"[date]"),F189),"")</f>
        <v>0</v>
      </c>
      <c r="L189" s="36">
        <f ca="1">IFERROR(SUM(SUMIFS(INDIRECT(Hours[[#This Row],[table]]&amp;"[real time]"),INDIRECT(Hours[[#This Row],[table]]&amp;"[employee]"),C189,INDIRECT(Hours[[#This Row],[table]]&amp;"[date]"),F189,INDIRECT(Hours[[#This Row],[table]]&amp;"[code]"),{"a","x",""})),"")</f>
        <v>0</v>
      </c>
      <c r="M189" s="36">
        <f ca="1">IFERROR(SUMIFS(INDIRECT(Hours[[#This Row],[table]]&amp;"[real time]"),INDIRECT(Hours[[#This Row],[table]]&amp;"[employee]"),C189,INDIRECT(Hours[[#This Row],[table]]&amp;"[date]"),F189,INDIRECT(Hours[[#This Row],[table]]&amp;"[code]"),"m"),"")</f>
        <v>0</v>
      </c>
      <c r="N189" s="36">
        <f ca="1">IFERROR(SUMIFS(INDIRECT(Hours[[#This Row],[table]]&amp;"[real time]"),INDIRECT(Hours[[#This Row],[table]]&amp;"[employee]"),C189,INDIRECT(Hours[[#This Row],[table]]&amp;"[date]"),F189,INDIRECT(Hours[[#This Row],[table]]&amp;"[code]"),"e"),"")</f>
        <v>0</v>
      </c>
    </row>
    <row r="190" spans="1:14" x14ac:dyDescent="0.25">
      <c r="A190" s="28" t="s">
        <v>98</v>
      </c>
      <c r="B190" s="28" t="s">
        <v>99</v>
      </c>
      <c r="C190" s="1" t="s">
        <v>100</v>
      </c>
      <c r="D190" s="32" t="str">
        <f>IF(NOT(ISBLANK(Hours[[#This Row],[employee]])),IF(ISNUMBER(Hours[[#This Row],[employee]]),"REG","CON"),"")</f>
        <v>CON</v>
      </c>
      <c r="E190" s="32" t="str">
        <f>IF(Hours[[#This Row],[cat]]="CON","Contractors",IF(Hours[[#This Row],[cat]]="REG","Employees",""))</f>
        <v>Contractors</v>
      </c>
      <c r="F190" s="34">
        <v>44164</v>
      </c>
      <c r="G190" s="35">
        <v>0.2951388888888889</v>
      </c>
      <c r="H190" s="35">
        <v>0.59027777777777779</v>
      </c>
      <c r="I190" s="29">
        <f>IF(H190&lt;G190,24+H190-G190,H190-G190)</f>
        <v>0.2951388888888889</v>
      </c>
      <c r="J190" s="36">
        <v>0.27083333333333331</v>
      </c>
      <c r="K190" s="36">
        <f ca="1">IFERROR(SUMIFS(INDIRECT(Hours[[#This Row],[table]]&amp;"[real time]"),INDIRECT(Hours[[#This Row],[table]]&amp;"[employee]"),C190,INDIRECT(Hours[[#This Row],[table]]&amp;"[date]"),F190),"")</f>
        <v>0</v>
      </c>
      <c r="L190" s="36">
        <f ca="1">IFERROR(SUM(SUMIFS(INDIRECT(Hours[[#This Row],[table]]&amp;"[real time]"),INDIRECT(Hours[[#This Row],[table]]&amp;"[employee]"),C190,INDIRECT(Hours[[#This Row],[table]]&amp;"[date]"),F190,INDIRECT(Hours[[#This Row],[table]]&amp;"[code]"),{"a","x",""})),"")</f>
        <v>0</v>
      </c>
      <c r="M190" s="36">
        <f ca="1">IFERROR(SUMIFS(INDIRECT(Hours[[#This Row],[table]]&amp;"[real time]"),INDIRECT(Hours[[#This Row],[table]]&amp;"[employee]"),C190,INDIRECT(Hours[[#This Row],[table]]&amp;"[date]"),F190,INDIRECT(Hours[[#This Row],[table]]&amp;"[code]"),"m"),"")</f>
        <v>0</v>
      </c>
      <c r="N190" s="36">
        <f ca="1">IFERROR(SUMIFS(INDIRECT(Hours[[#This Row],[table]]&amp;"[real time]"),INDIRECT(Hours[[#This Row],[table]]&amp;"[employee]"),C190,INDIRECT(Hours[[#This Row],[table]]&amp;"[date]"),F190,INDIRECT(Hours[[#This Row],[table]]&amp;"[code]"),"e"),"")</f>
        <v>0</v>
      </c>
    </row>
    <row r="191" spans="1:14" x14ac:dyDescent="0.25">
      <c r="A191" s="28" t="s">
        <v>98</v>
      </c>
      <c r="B191" s="28" t="s">
        <v>99</v>
      </c>
      <c r="C191" s="1" t="s">
        <v>100</v>
      </c>
      <c r="D191" s="32" t="str">
        <f>IF(NOT(ISBLANK(Hours[[#This Row],[employee]])),IF(ISNUMBER(Hours[[#This Row],[employee]]),"REG","CON"),"")</f>
        <v>CON</v>
      </c>
      <c r="E191" s="32" t="str">
        <f>IF(Hours[[#This Row],[cat]]="CON","Contractors",IF(Hours[[#This Row],[cat]]="REG","Employees",""))</f>
        <v>Contractors</v>
      </c>
      <c r="F191" s="34">
        <v>44165</v>
      </c>
      <c r="G191" s="35">
        <v>0.625</v>
      </c>
      <c r="H191" s="35">
        <v>8.8888888888888892E-2</v>
      </c>
      <c r="I191" s="29">
        <f>IF(H191&lt;G191,24+H191-G191,H191-G191)</f>
        <v>23.463888888888889</v>
      </c>
      <c r="J191" s="36">
        <v>0.4375</v>
      </c>
      <c r="K191" s="36">
        <f ca="1">IFERROR(SUMIFS(INDIRECT(Hours[[#This Row],[table]]&amp;"[real time]"),INDIRECT(Hours[[#This Row],[table]]&amp;"[employee]"),C191,INDIRECT(Hours[[#This Row],[table]]&amp;"[date]"),F191),"")</f>
        <v>0</v>
      </c>
      <c r="L191" s="36">
        <f ca="1">IFERROR(SUM(SUMIFS(INDIRECT(Hours[[#This Row],[table]]&amp;"[real time]"),INDIRECT(Hours[[#This Row],[table]]&amp;"[employee]"),C191,INDIRECT(Hours[[#This Row],[table]]&amp;"[date]"),F191,INDIRECT(Hours[[#This Row],[table]]&amp;"[code]"),{"a","x",""})),"")</f>
        <v>0</v>
      </c>
      <c r="M191" s="36">
        <f ca="1">IFERROR(SUMIFS(INDIRECT(Hours[[#This Row],[table]]&amp;"[real time]"),INDIRECT(Hours[[#This Row],[table]]&amp;"[employee]"),C191,INDIRECT(Hours[[#This Row],[table]]&amp;"[date]"),F191,INDIRECT(Hours[[#This Row],[table]]&amp;"[code]"),"m"),"")</f>
        <v>0</v>
      </c>
      <c r="N191" s="36">
        <f ca="1">IFERROR(SUMIFS(INDIRECT(Hours[[#This Row],[table]]&amp;"[real time]"),INDIRECT(Hours[[#This Row],[table]]&amp;"[employee]"),C191,INDIRECT(Hours[[#This Row],[table]]&amp;"[date]"),F191,INDIRECT(Hours[[#This Row],[table]]&amp;"[code]"),"e"),"")</f>
        <v>0</v>
      </c>
    </row>
    <row r="192" spans="1:14" x14ac:dyDescent="0.25">
      <c r="A192" s="28" t="s">
        <v>98</v>
      </c>
      <c r="B192" s="28" t="s">
        <v>99</v>
      </c>
      <c r="C192" s="1" t="s">
        <v>100</v>
      </c>
      <c r="D192" s="32" t="str">
        <f>IF(NOT(ISBLANK(Hours[[#This Row],[employee]])),IF(ISNUMBER(Hours[[#This Row],[employee]]),"REG","CON"),"")</f>
        <v>CON</v>
      </c>
      <c r="E192" s="32" t="str">
        <f>IF(Hours[[#This Row],[cat]]="CON","Contractors",IF(Hours[[#This Row],[cat]]="REG","Employees",""))</f>
        <v>Contractors</v>
      </c>
      <c r="F192" s="34">
        <v>44166</v>
      </c>
      <c r="G192" s="35">
        <v>0.64097222222222217</v>
      </c>
      <c r="H192" s="35">
        <v>8.4027777777777771E-2</v>
      </c>
      <c r="I192" s="29">
        <f>IF(H192&lt;G192,24+H192-G192,H192-G192)</f>
        <v>23.443055555555556</v>
      </c>
      <c r="J192" s="36">
        <v>0.41666666666666669</v>
      </c>
      <c r="K192" s="36">
        <f ca="1">IFERROR(SUMIFS(INDIRECT(Hours[[#This Row],[table]]&amp;"[real time]"),INDIRECT(Hours[[#This Row],[table]]&amp;"[employee]"),C192,INDIRECT(Hours[[#This Row],[table]]&amp;"[date]"),F192),"")</f>
        <v>0</v>
      </c>
      <c r="L192" s="36">
        <f ca="1">IFERROR(SUM(SUMIFS(INDIRECT(Hours[[#This Row],[table]]&amp;"[real time]"),INDIRECT(Hours[[#This Row],[table]]&amp;"[employee]"),C192,INDIRECT(Hours[[#This Row],[table]]&amp;"[date]"),F192,INDIRECT(Hours[[#This Row],[table]]&amp;"[code]"),{"a","x",""})),"")</f>
        <v>0</v>
      </c>
      <c r="M192" s="36">
        <f ca="1">IFERROR(SUMIFS(INDIRECT(Hours[[#This Row],[table]]&amp;"[real time]"),INDIRECT(Hours[[#This Row],[table]]&amp;"[employee]"),C192,INDIRECT(Hours[[#This Row],[table]]&amp;"[date]"),F192,INDIRECT(Hours[[#This Row],[table]]&amp;"[code]"),"m"),"")</f>
        <v>0</v>
      </c>
      <c r="N192" s="36">
        <f ca="1">IFERROR(SUMIFS(INDIRECT(Hours[[#This Row],[table]]&amp;"[real time]"),INDIRECT(Hours[[#This Row],[table]]&amp;"[employee]"),C192,INDIRECT(Hours[[#This Row],[table]]&amp;"[date]"),F192,INDIRECT(Hours[[#This Row],[table]]&amp;"[code]"),"e"),"")</f>
        <v>0</v>
      </c>
    </row>
    <row r="193" spans="1:14" x14ac:dyDescent="0.25">
      <c r="A193" s="28" t="s">
        <v>98</v>
      </c>
      <c r="B193" s="28" t="s">
        <v>99</v>
      </c>
      <c r="C193" s="1" t="s">
        <v>100</v>
      </c>
      <c r="D193" s="32" t="str">
        <f>IF(NOT(ISBLANK(Hours[[#This Row],[employee]])),IF(ISNUMBER(Hours[[#This Row],[employee]]),"REG","CON"),"")</f>
        <v>CON</v>
      </c>
      <c r="E193" s="32" t="str">
        <f>IF(Hours[[#This Row],[cat]]="CON","Contractors",IF(Hours[[#This Row],[cat]]="REG","Employees",""))</f>
        <v>Contractors</v>
      </c>
      <c r="F193" s="34">
        <v>44167</v>
      </c>
      <c r="G193" s="35">
        <v>0.65625</v>
      </c>
      <c r="H193" s="35">
        <v>9.1666666666666674E-2</v>
      </c>
      <c r="I193" s="29">
        <f>IF(H193&lt;G193,24+H193-G193,H193-G193)</f>
        <v>23.435416666666665</v>
      </c>
      <c r="J193" s="36">
        <v>0.41666666666666669</v>
      </c>
      <c r="K193" s="36">
        <f ca="1">IFERROR(SUMIFS(INDIRECT(Hours[[#This Row],[table]]&amp;"[real time]"),INDIRECT(Hours[[#This Row],[table]]&amp;"[employee]"),C193,INDIRECT(Hours[[#This Row],[table]]&amp;"[date]"),F193),"")</f>
        <v>0</v>
      </c>
      <c r="L193" s="36">
        <f ca="1">IFERROR(SUM(SUMIFS(INDIRECT(Hours[[#This Row],[table]]&amp;"[real time]"),INDIRECT(Hours[[#This Row],[table]]&amp;"[employee]"),C193,INDIRECT(Hours[[#This Row],[table]]&amp;"[date]"),F193,INDIRECT(Hours[[#This Row],[table]]&amp;"[code]"),{"a","x",""})),"")</f>
        <v>0</v>
      </c>
      <c r="M193" s="36">
        <f ca="1">IFERROR(SUMIFS(INDIRECT(Hours[[#This Row],[table]]&amp;"[real time]"),INDIRECT(Hours[[#This Row],[table]]&amp;"[employee]"),C193,INDIRECT(Hours[[#This Row],[table]]&amp;"[date]"),F193,INDIRECT(Hours[[#This Row],[table]]&amp;"[code]"),"m"),"")</f>
        <v>0</v>
      </c>
      <c r="N193" s="36">
        <f ca="1">IFERROR(SUMIFS(INDIRECT(Hours[[#This Row],[table]]&amp;"[real time]"),INDIRECT(Hours[[#This Row],[table]]&amp;"[employee]"),C193,INDIRECT(Hours[[#This Row],[table]]&amp;"[date]"),F193,INDIRECT(Hours[[#This Row],[table]]&amp;"[code]"),"e"),"")</f>
        <v>0</v>
      </c>
    </row>
    <row r="194" spans="1:14" x14ac:dyDescent="0.25">
      <c r="A194" s="28" t="s">
        <v>98</v>
      </c>
      <c r="B194" s="28" t="s">
        <v>99</v>
      </c>
      <c r="C194" s="1" t="s">
        <v>100</v>
      </c>
      <c r="D194" s="32" t="str">
        <f>IF(NOT(ISBLANK(Hours[[#This Row],[employee]])),IF(ISNUMBER(Hours[[#This Row],[employee]]),"REG","CON"),"")</f>
        <v>CON</v>
      </c>
      <c r="E194" s="32" t="str">
        <f>IF(Hours[[#This Row],[cat]]="CON","Contractors",IF(Hours[[#This Row],[cat]]="REG","Employees",""))</f>
        <v>Contractors</v>
      </c>
      <c r="F194" s="34">
        <v>44168</v>
      </c>
      <c r="G194" s="35">
        <v>0.64513888888888882</v>
      </c>
      <c r="H194" s="35">
        <v>8.3333333333333329E-2</v>
      </c>
      <c r="I194" s="29">
        <f>IF(H194&lt;G194,24+H194-G194,H194-G194)</f>
        <v>23.438194444444445</v>
      </c>
      <c r="J194" s="36">
        <v>0.41666666666666669</v>
      </c>
      <c r="K194" s="36">
        <f ca="1">IFERROR(SUMIFS(INDIRECT(Hours[[#This Row],[table]]&amp;"[real time]"),INDIRECT(Hours[[#This Row],[table]]&amp;"[employee]"),C194,INDIRECT(Hours[[#This Row],[table]]&amp;"[date]"),F194),"")</f>
        <v>0</v>
      </c>
      <c r="L194" s="36">
        <f ca="1">IFERROR(SUM(SUMIFS(INDIRECT(Hours[[#This Row],[table]]&amp;"[real time]"),INDIRECT(Hours[[#This Row],[table]]&amp;"[employee]"),C194,INDIRECT(Hours[[#This Row],[table]]&amp;"[date]"),F194,INDIRECT(Hours[[#This Row],[table]]&amp;"[code]"),{"a","x",""})),"")</f>
        <v>0</v>
      </c>
      <c r="M194" s="36">
        <f ca="1">IFERROR(SUMIFS(INDIRECT(Hours[[#This Row],[table]]&amp;"[real time]"),INDIRECT(Hours[[#This Row],[table]]&amp;"[employee]"),C194,INDIRECT(Hours[[#This Row],[table]]&amp;"[date]"),F194,INDIRECT(Hours[[#This Row],[table]]&amp;"[code]"),"m"),"")</f>
        <v>0</v>
      </c>
      <c r="N194" s="36">
        <f ca="1">IFERROR(SUMIFS(INDIRECT(Hours[[#This Row],[table]]&amp;"[real time]"),INDIRECT(Hours[[#This Row],[table]]&amp;"[employee]"),C194,INDIRECT(Hours[[#This Row],[table]]&amp;"[date]"),F194,INDIRECT(Hours[[#This Row],[table]]&amp;"[code]"),"e"),"")</f>
        <v>0</v>
      </c>
    </row>
    <row r="195" spans="1:14" x14ac:dyDescent="0.25">
      <c r="A195" s="28" t="s">
        <v>98</v>
      </c>
      <c r="B195" s="28" t="s">
        <v>99</v>
      </c>
      <c r="C195" s="1" t="s">
        <v>100</v>
      </c>
      <c r="D195" s="32" t="str">
        <f>IF(NOT(ISBLANK(Hours[[#This Row],[employee]])),IF(ISNUMBER(Hours[[#This Row],[employee]]),"REG","CON"),"")</f>
        <v>CON</v>
      </c>
      <c r="E195" s="32" t="str">
        <f>IF(Hours[[#This Row],[cat]]="CON","Contractors",IF(Hours[[#This Row],[cat]]="REG","Employees",""))</f>
        <v>Contractors</v>
      </c>
      <c r="F195" s="34">
        <v>44169</v>
      </c>
      <c r="G195" s="35">
        <v>0.64513888888888882</v>
      </c>
      <c r="H195" s="35">
        <v>0.1875</v>
      </c>
      <c r="I195" s="29">
        <f>IF(H195&lt;G195,24+H195-G195,H195-G195)</f>
        <v>23.542361111111113</v>
      </c>
      <c r="J195" s="36">
        <v>0.52083333333333337</v>
      </c>
      <c r="K195" s="36">
        <f ca="1">IFERROR(SUMIFS(INDIRECT(Hours[[#This Row],[table]]&amp;"[real time]"),INDIRECT(Hours[[#This Row],[table]]&amp;"[employee]"),C195,INDIRECT(Hours[[#This Row],[table]]&amp;"[date]"),F195),"")</f>
        <v>0</v>
      </c>
      <c r="L195" s="36">
        <f ca="1">IFERROR(SUM(SUMIFS(INDIRECT(Hours[[#This Row],[table]]&amp;"[real time]"),INDIRECT(Hours[[#This Row],[table]]&amp;"[employee]"),C195,INDIRECT(Hours[[#This Row],[table]]&amp;"[date]"),F195,INDIRECT(Hours[[#This Row],[table]]&amp;"[code]"),{"a","x",""})),"")</f>
        <v>0</v>
      </c>
      <c r="M195" s="36">
        <f ca="1">IFERROR(SUMIFS(INDIRECT(Hours[[#This Row],[table]]&amp;"[real time]"),INDIRECT(Hours[[#This Row],[table]]&amp;"[employee]"),C195,INDIRECT(Hours[[#This Row],[table]]&amp;"[date]"),F195,INDIRECT(Hours[[#This Row],[table]]&amp;"[code]"),"m"),"")</f>
        <v>0</v>
      </c>
      <c r="N195" s="36">
        <f ca="1">IFERROR(SUMIFS(INDIRECT(Hours[[#This Row],[table]]&amp;"[real time]"),INDIRECT(Hours[[#This Row],[table]]&amp;"[employee]"),C195,INDIRECT(Hours[[#This Row],[table]]&amp;"[date]"),F195,INDIRECT(Hours[[#This Row],[table]]&amp;"[code]"),"e"),"")</f>
        <v>0</v>
      </c>
    </row>
    <row r="196" spans="1:14" x14ac:dyDescent="0.25">
      <c r="A196" s="28" t="s">
        <v>101</v>
      </c>
      <c r="B196" s="28" t="s">
        <v>102</v>
      </c>
      <c r="C196" s="1" t="s">
        <v>103</v>
      </c>
      <c r="D196" s="32" t="str">
        <f>IF(NOT(ISBLANK(Hours[[#This Row],[employee]])),IF(ISNUMBER(Hours[[#This Row],[employee]]),"REG","CON"),"")</f>
        <v>CON</v>
      </c>
      <c r="E196" s="32" t="str">
        <f>IF(Hours[[#This Row],[cat]]="CON","Contractors",IF(Hours[[#This Row],[cat]]="REG","Employees",""))</f>
        <v>Contractors</v>
      </c>
      <c r="F196" s="34">
        <v>44161</v>
      </c>
      <c r="G196" s="35">
        <v>0.68402777777777779</v>
      </c>
      <c r="H196" s="35">
        <v>8.3333333333333329E-2</v>
      </c>
      <c r="I196" s="29">
        <f>IF(H196&lt;G196,24+H196-G196,H196-G196)</f>
        <v>23.399305555555554</v>
      </c>
      <c r="J196" s="36">
        <v>0.375</v>
      </c>
      <c r="K196" s="36">
        <f ca="1">IFERROR(SUMIFS(INDIRECT(Hours[[#This Row],[table]]&amp;"[real time]"),INDIRECT(Hours[[#This Row],[table]]&amp;"[employee]"),C196,INDIRECT(Hours[[#This Row],[table]]&amp;"[date]"),F196),"")</f>
        <v>0</v>
      </c>
      <c r="L196" s="36">
        <f ca="1">IFERROR(SUM(SUMIFS(INDIRECT(Hours[[#This Row],[table]]&amp;"[real time]"),INDIRECT(Hours[[#This Row],[table]]&amp;"[employee]"),C196,INDIRECT(Hours[[#This Row],[table]]&amp;"[date]"),F196,INDIRECT(Hours[[#This Row],[table]]&amp;"[code]"),{"a","x",""})),"")</f>
        <v>0</v>
      </c>
      <c r="M196" s="36">
        <f ca="1">IFERROR(SUMIFS(INDIRECT(Hours[[#This Row],[table]]&amp;"[real time]"),INDIRECT(Hours[[#This Row],[table]]&amp;"[employee]"),C196,INDIRECT(Hours[[#This Row],[table]]&amp;"[date]"),F196,INDIRECT(Hours[[#This Row],[table]]&amp;"[code]"),"m"),"")</f>
        <v>0</v>
      </c>
      <c r="N196" s="36">
        <f ca="1">IFERROR(SUMIFS(INDIRECT(Hours[[#This Row],[table]]&amp;"[real time]"),INDIRECT(Hours[[#This Row],[table]]&amp;"[employee]"),C196,INDIRECT(Hours[[#This Row],[table]]&amp;"[date]"),F196,INDIRECT(Hours[[#This Row],[table]]&amp;"[code]"),"e"),"")</f>
        <v>0</v>
      </c>
    </row>
    <row r="197" spans="1:14" x14ac:dyDescent="0.25">
      <c r="A197" s="28" t="s">
        <v>101</v>
      </c>
      <c r="B197" s="28" t="s">
        <v>102</v>
      </c>
      <c r="C197" s="1" t="s">
        <v>103</v>
      </c>
      <c r="D197" s="32" t="str">
        <f>IF(NOT(ISBLANK(Hours[[#This Row],[employee]])),IF(ISNUMBER(Hours[[#This Row],[employee]]),"REG","CON"),"")</f>
        <v>CON</v>
      </c>
      <c r="E197" s="32" t="str">
        <f>IF(Hours[[#This Row],[cat]]="CON","Contractors",IF(Hours[[#This Row],[cat]]="REG","Employees",""))</f>
        <v>Contractors</v>
      </c>
      <c r="F197" s="34">
        <v>44162</v>
      </c>
      <c r="G197" s="35">
        <v>0.68680555555555556</v>
      </c>
      <c r="H197" s="35">
        <v>4.1666666666666664E-2</v>
      </c>
      <c r="I197" s="29">
        <f>IF(H197&lt;G197,24+H197-G197,H197-G197)</f>
        <v>23.354861111111113</v>
      </c>
      <c r="J197" s="36">
        <v>0.33333333333333331</v>
      </c>
      <c r="K197" s="36">
        <f ca="1">IFERROR(SUMIFS(INDIRECT(Hours[[#This Row],[table]]&amp;"[real time]"),INDIRECT(Hours[[#This Row],[table]]&amp;"[employee]"),C197,INDIRECT(Hours[[#This Row],[table]]&amp;"[date]"),F197),"")</f>
        <v>0</v>
      </c>
      <c r="L197" s="36">
        <f ca="1">IFERROR(SUM(SUMIFS(INDIRECT(Hours[[#This Row],[table]]&amp;"[real time]"),INDIRECT(Hours[[#This Row],[table]]&amp;"[employee]"),C197,INDIRECT(Hours[[#This Row],[table]]&amp;"[date]"),F197,INDIRECT(Hours[[#This Row],[table]]&amp;"[code]"),{"a","x",""})),"")</f>
        <v>0</v>
      </c>
      <c r="M197" s="36">
        <f ca="1">IFERROR(SUMIFS(INDIRECT(Hours[[#This Row],[table]]&amp;"[real time]"),INDIRECT(Hours[[#This Row],[table]]&amp;"[employee]"),C197,INDIRECT(Hours[[#This Row],[table]]&amp;"[date]"),F197,INDIRECT(Hours[[#This Row],[table]]&amp;"[code]"),"m"),"")</f>
        <v>0</v>
      </c>
      <c r="N197" s="36">
        <f ca="1">IFERROR(SUMIFS(INDIRECT(Hours[[#This Row],[table]]&amp;"[real time]"),INDIRECT(Hours[[#This Row],[table]]&amp;"[employee]"),C197,INDIRECT(Hours[[#This Row],[table]]&amp;"[date]"),F197,INDIRECT(Hours[[#This Row],[table]]&amp;"[code]"),"e"),"")</f>
        <v>0</v>
      </c>
    </row>
    <row r="198" spans="1:14" x14ac:dyDescent="0.25">
      <c r="A198" s="28" t="s">
        <v>101</v>
      </c>
      <c r="B198" s="28" t="s">
        <v>102</v>
      </c>
      <c r="C198" s="1" t="s">
        <v>103</v>
      </c>
      <c r="D198" s="32" t="str">
        <f>IF(NOT(ISBLANK(Hours[[#This Row],[employee]])),IF(ISNUMBER(Hours[[#This Row],[employee]]),"REG","CON"),"")</f>
        <v>CON</v>
      </c>
      <c r="E198" s="32" t="str">
        <f>IF(Hours[[#This Row],[cat]]="CON","Contractors",IF(Hours[[#This Row],[cat]]="REG","Employees",""))</f>
        <v>Contractors</v>
      </c>
      <c r="F198" s="34">
        <v>44164</v>
      </c>
      <c r="G198" s="35">
        <v>0.68611111111111101</v>
      </c>
      <c r="H198" s="35">
        <v>8.4722222222222213E-2</v>
      </c>
      <c r="I198" s="29">
        <f>IF(H198&lt;G198,24+H198-G198,H198-G198)</f>
        <v>23.398611111111112</v>
      </c>
      <c r="J198" s="36">
        <v>0.375</v>
      </c>
      <c r="K198" s="36">
        <f ca="1">IFERROR(SUMIFS(INDIRECT(Hours[[#This Row],[table]]&amp;"[real time]"),INDIRECT(Hours[[#This Row],[table]]&amp;"[employee]"),C198,INDIRECT(Hours[[#This Row],[table]]&amp;"[date]"),F198),"")</f>
        <v>0</v>
      </c>
      <c r="L198" s="36">
        <f ca="1">IFERROR(SUM(SUMIFS(INDIRECT(Hours[[#This Row],[table]]&amp;"[real time]"),INDIRECT(Hours[[#This Row],[table]]&amp;"[employee]"),C198,INDIRECT(Hours[[#This Row],[table]]&amp;"[date]"),F198,INDIRECT(Hours[[#This Row],[table]]&amp;"[code]"),{"a","x",""})),"")</f>
        <v>0</v>
      </c>
      <c r="M198" s="36">
        <f ca="1">IFERROR(SUMIFS(INDIRECT(Hours[[#This Row],[table]]&amp;"[real time]"),INDIRECT(Hours[[#This Row],[table]]&amp;"[employee]"),C198,INDIRECT(Hours[[#This Row],[table]]&amp;"[date]"),F198,INDIRECT(Hours[[#This Row],[table]]&amp;"[code]"),"m"),"")</f>
        <v>0</v>
      </c>
      <c r="N198" s="36">
        <f ca="1">IFERROR(SUMIFS(INDIRECT(Hours[[#This Row],[table]]&amp;"[real time]"),INDIRECT(Hours[[#This Row],[table]]&amp;"[employee]"),C198,INDIRECT(Hours[[#This Row],[table]]&amp;"[date]"),F198,INDIRECT(Hours[[#This Row],[table]]&amp;"[code]"),"e"),"")</f>
        <v>0</v>
      </c>
    </row>
    <row r="199" spans="1:14" x14ac:dyDescent="0.25">
      <c r="A199" s="28" t="s">
        <v>101</v>
      </c>
      <c r="B199" s="28" t="s">
        <v>102</v>
      </c>
      <c r="C199" s="1" t="s">
        <v>103</v>
      </c>
      <c r="D199" s="32" t="str">
        <f>IF(NOT(ISBLANK(Hours[[#This Row],[employee]])),IF(ISNUMBER(Hours[[#This Row],[employee]]),"REG","CON"),"")</f>
        <v>CON</v>
      </c>
      <c r="E199" s="32" t="str">
        <f>IF(Hours[[#This Row],[cat]]="CON","Contractors",IF(Hours[[#This Row],[cat]]="REG","Employees",""))</f>
        <v>Contractors</v>
      </c>
      <c r="F199" s="34">
        <v>44165</v>
      </c>
      <c r="G199" s="35">
        <v>0.68333333333333324</v>
      </c>
      <c r="H199" s="35">
        <v>8.3333333333333329E-2</v>
      </c>
      <c r="I199" s="29">
        <f>IF(H199&lt;G199,24+H199-G199,H199-G199)</f>
        <v>23.4</v>
      </c>
      <c r="J199" s="36">
        <v>0.375</v>
      </c>
      <c r="K199" s="36">
        <f ca="1">IFERROR(SUMIFS(INDIRECT(Hours[[#This Row],[table]]&amp;"[real time]"),INDIRECT(Hours[[#This Row],[table]]&amp;"[employee]"),C199,INDIRECT(Hours[[#This Row],[table]]&amp;"[date]"),F199),"")</f>
        <v>0</v>
      </c>
      <c r="L199" s="36">
        <f ca="1">IFERROR(SUM(SUMIFS(INDIRECT(Hours[[#This Row],[table]]&amp;"[real time]"),INDIRECT(Hours[[#This Row],[table]]&amp;"[employee]"),C199,INDIRECT(Hours[[#This Row],[table]]&amp;"[date]"),F199,INDIRECT(Hours[[#This Row],[table]]&amp;"[code]"),{"a","x",""})),"")</f>
        <v>0</v>
      </c>
      <c r="M199" s="36">
        <f ca="1">IFERROR(SUMIFS(INDIRECT(Hours[[#This Row],[table]]&amp;"[real time]"),INDIRECT(Hours[[#This Row],[table]]&amp;"[employee]"),C199,INDIRECT(Hours[[#This Row],[table]]&amp;"[date]"),F199,INDIRECT(Hours[[#This Row],[table]]&amp;"[code]"),"m"),"")</f>
        <v>0</v>
      </c>
      <c r="N199" s="36">
        <f ca="1">IFERROR(SUMIFS(INDIRECT(Hours[[#This Row],[table]]&amp;"[real time]"),INDIRECT(Hours[[#This Row],[table]]&amp;"[employee]"),C199,INDIRECT(Hours[[#This Row],[table]]&amp;"[date]"),F199,INDIRECT(Hours[[#This Row],[table]]&amp;"[code]"),"e"),"")</f>
        <v>0</v>
      </c>
    </row>
    <row r="200" spans="1:14" x14ac:dyDescent="0.25">
      <c r="A200" s="28" t="s">
        <v>101</v>
      </c>
      <c r="B200" s="28" t="s">
        <v>102</v>
      </c>
      <c r="C200" s="1" t="s">
        <v>103</v>
      </c>
      <c r="D200" s="32" t="str">
        <f>IF(NOT(ISBLANK(Hours[[#This Row],[employee]])),IF(ISNUMBER(Hours[[#This Row],[employee]]),"REG","CON"),"")</f>
        <v>CON</v>
      </c>
      <c r="E200" s="32" t="str">
        <f>IF(Hours[[#This Row],[cat]]="CON","Contractors",IF(Hours[[#This Row],[cat]]="REG","Employees",""))</f>
        <v>Contractors</v>
      </c>
      <c r="F200" s="34">
        <v>44166</v>
      </c>
      <c r="G200" s="35">
        <v>0.68680555555555556</v>
      </c>
      <c r="H200" s="35">
        <v>2.5694444444444447E-2</v>
      </c>
      <c r="I200" s="29">
        <f>IF(H200&lt;G200,24+H200-G200,H200-G200)</f>
        <v>23.338888888888889</v>
      </c>
      <c r="J200" s="36">
        <v>0.3125</v>
      </c>
      <c r="K200" s="36">
        <f ca="1">IFERROR(SUMIFS(INDIRECT(Hours[[#This Row],[table]]&amp;"[real time]"),INDIRECT(Hours[[#This Row],[table]]&amp;"[employee]"),C200,INDIRECT(Hours[[#This Row],[table]]&amp;"[date]"),F200),"")</f>
        <v>0</v>
      </c>
      <c r="L200" s="36">
        <f ca="1">IFERROR(SUM(SUMIFS(INDIRECT(Hours[[#This Row],[table]]&amp;"[real time]"),INDIRECT(Hours[[#This Row],[table]]&amp;"[employee]"),C200,INDIRECT(Hours[[#This Row],[table]]&amp;"[date]"),F200,INDIRECT(Hours[[#This Row],[table]]&amp;"[code]"),{"a","x",""})),"")</f>
        <v>0</v>
      </c>
      <c r="M200" s="36">
        <f ca="1">IFERROR(SUMIFS(INDIRECT(Hours[[#This Row],[table]]&amp;"[real time]"),INDIRECT(Hours[[#This Row],[table]]&amp;"[employee]"),C200,INDIRECT(Hours[[#This Row],[table]]&amp;"[date]"),F200,INDIRECT(Hours[[#This Row],[table]]&amp;"[code]"),"m"),"")</f>
        <v>0</v>
      </c>
      <c r="N200" s="36">
        <f ca="1">IFERROR(SUMIFS(INDIRECT(Hours[[#This Row],[table]]&amp;"[real time]"),INDIRECT(Hours[[#This Row],[table]]&amp;"[employee]"),C200,INDIRECT(Hours[[#This Row],[table]]&amp;"[date]"),F200,INDIRECT(Hours[[#This Row],[table]]&amp;"[code]"),"e"),"")</f>
        <v>0</v>
      </c>
    </row>
    <row r="201" spans="1:14" x14ac:dyDescent="0.25">
      <c r="A201" s="28" t="s">
        <v>101</v>
      </c>
      <c r="B201" s="28" t="s">
        <v>102</v>
      </c>
      <c r="C201" s="1" t="s">
        <v>103</v>
      </c>
      <c r="D201" s="32" t="str">
        <f>IF(NOT(ISBLANK(Hours[[#This Row],[employee]])),IF(ISNUMBER(Hours[[#This Row],[employee]]),"REG","CON"),"")</f>
        <v>CON</v>
      </c>
      <c r="E201" s="32" t="str">
        <f>IF(Hours[[#This Row],[cat]]="CON","Contractors",IF(Hours[[#This Row],[cat]]="REG","Employees",""))</f>
        <v>Contractors</v>
      </c>
      <c r="F201" s="34">
        <v>44167</v>
      </c>
      <c r="G201" s="35">
        <v>0.68472222222222223</v>
      </c>
      <c r="H201" s="35">
        <v>8.3333333333333329E-2</v>
      </c>
      <c r="I201" s="29">
        <f>IF(H201&lt;G201,24+H201-G201,H201-G201)</f>
        <v>23.398611111111109</v>
      </c>
      <c r="J201" s="36">
        <v>0.375</v>
      </c>
      <c r="K201" s="36">
        <f ca="1">IFERROR(SUMIFS(INDIRECT(Hours[[#This Row],[table]]&amp;"[real time]"),INDIRECT(Hours[[#This Row],[table]]&amp;"[employee]"),C201,INDIRECT(Hours[[#This Row],[table]]&amp;"[date]"),F201),"")</f>
        <v>0</v>
      </c>
      <c r="L201" s="36">
        <f ca="1">IFERROR(SUM(SUMIFS(INDIRECT(Hours[[#This Row],[table]]&amp;"[real time]"),INDIRECT(Hours[[#This Row],[table]]&amp;"[employee]"),C201,INDIRECT(Hours[[#This Row],[table]]&amp;"[date]"),F201,INDIRECT(Hours[[#This Row],[table]]&amp;"[code]"),{"a","x",""})),"")</f>
        <v>0</v>
      </c>
      <c r="M201" s="36">
        <f ca="1">IFERROR(SUMIFS(INDIRECT(Hours[[#This Row],[table]]&amp;"[real time]"),INDIRECT(Hours[[#This Row],[table]]&amp;"[employee]"),C201,INDIRECT(Hours[[#This Row],[table]]&amp;"[date]"),F201,INDIRECT(Hours[[#This Row],[table]]&amp;"[code]"),"m"),"")</f>
        <v>0</v>
      </c>
      <c r="N201" s="36">
        <f ca="1">IFERROR(SUMIFS(INDIRECT(Hours[[#This Row],[table]]&amp;"[real time]"),INDIRECT(Hours[[#This Row],[table]]&amp;"[employee]"),C201,INDIRECT(Hours[[#This Row],[table]]&amp;"[date]"),F201,INDIRECT(Hours[[#This Row],[table]]&amp;"[code]"),"e"),"")</f>
        <v>0</v>
      </c>
    </row>
    <row r="202" spans="1:14" x14ac:dyDescent="0.25">
      <c r="A202" s="28" t="s">
        <v>101</v>
      </c>
      <c r="B202" s="28" t="s">
        <v>102</v>
      </c>
      <c r="C202" s="1" t="s">
        <v>103</v>
      </c>
      <c r="D202" s="32" t="str">
        <f>IF(NOT(ISBLANK(Hours[[#This Row],[employee]])),IF(ISNUMBER(Hours[[#This Row],[employee]]),"REG","CON"),"")</f>
        <v>CON</v>
      </c>
      <c r="E202" s="32" t="str">
        <f>IF(Hours[[#This Row],[cat]]="CON","Contractors",IF(Hours[[#This Row],[cat]]="REG","Employees",""))</f>
        <v>Contractors</v>
      </c>
      <c r="F202" s="34">
        <v>44168</v>
      </c>
      <c r="G202" s="35">
        <v>0.68472222222222223</v>
      </c>
      <c r="H202" s="35">
        <v>8.3333333333333329E-2</v>
      </c>
      <c r="I202" s="29">
        <f>IF(H202&lt;G202,24+H202-G202,H202-G202)</f>
        <v>23.398611111111109</v>
      </c>
      <c r="J202" s="36">
        <v>0.375</v>
      </c>
      <c r="K202" s="36">
        <f ca="1">IFERROR(SUMIFS(INDIRECT(Hours[[#This Row],[table]]&amp;"[real time]"),INDIRECT(Hours[[#This Row],[table]]&amp;"[employee]"),C202,INDIRECT(Hours[[#This Row],[table]]&amp;"[date]"),F202),"")</f>
        <v>0</v>
      </c>
      <c r="L202" s="36">
        <f ca="1">IFERROR(SUM(SUMIFS(INDIRECT(Hours[[#This Row],[table]]&amp;"[real time]"),INDIRECT(Hours[[#This Row],[table]]&amp;"[employee]"),C202,INDIRECT(Hours[[#This Row],[table]]&amp;"[date]"),F202,INDIRECT(Hours[[#This Row],[table]]&amp;"[code]"),{"a","x",""})),"")</f>
        <v>0</v>
      </c>
      <c r="M202" s="36">
        <f ca="1">IFERROR(SUMIFS(INDIRECT(Hours[[#This Row],[table]]&amp;"[real time]"),INDIRECT(Hours[[#This Row],[table]]&amp;"[employee]"),C202,INDIRECT(Hours[[#This Row],[table]]&amp;"[date]"),F202,INDIRECT(Hours[[#This Row],[table]]&amp;"[code]"),"m"),"")</f>
        <v>0</v>
      </c>
      <c r="N202" s="36">
        <f ca="1">IFERROR(SUMIFS(INDIRECT(Hours[[#This Row],[table]]&amp;"[real time]"),INDIRECT(Hours[[#This Row],[table]]&amp;"[employee]"),C202,INDIRECT(Hours[[#This Row],[table]]&amp;"[date]"),F202,INDIRECT(Hours[[#This Row],[table]]&amp;"[code]"),"e"),"")</f>
        <v>0</v>
      </c>
    </row>
    <row r="203" spans="1:14" x14ac:dyDescent="0.25">
      <c r="A203" s="28" t="s">
        <v>101</v>
      </c>
      <c r="B203" s="28" t="s">
        <v>102</v>
      </c>
      <c r="C203" s="1" t="s">
        <v>103</v>
      </c>
      <c r="D203" s="32" t="str">
        <f>IF(NOT(ISBLANK(Hours[[#This Row],[employee]])),IF(ISNUMBER(Hours[[#This Row],[employee]]),"REG","CON"),"")</f>
        <v>CON</v>
      </c>
      <c r="E203" s="32" t="str">
        <f>IF(Hours[[#This Row],[cat]]="CON","Contractors",IF(Hours[[#This Row],[cat]]="REG","Employees",""))</f>
        <v>Contractors</v>
      </c>
      <c r="F203" s="34">
        <v>44169</v>
      </c>
      <c r="G203" s="35">
        <v>0.68472222222222223</v>
      </c>
      <c r="H203" s="35">
        <v>4.1666666666666664E-2</v>
      </c>
      <c r="I203" s="29">
        <f>IF(H203&lt;G203,24+H203-G203,H203-G203)</f>
        <v>23.356944444444444</v>
      </c>
      <c r="J203" s="36">
        <v>0.33333333333333331</v>
      </c>
      <c r="K203" s="36">
        <f ca="1">IFERROR(SUMIFS(INDIRECT(Hours[[#This Row],[table]]&amp;"[real time]"),INDIRECT(Hours[[#This Row],[table]]&amp;"[employee]"),C203,INDIRECT(Hours[[#This Row],[table]]&amp;"[date]"),F203),"")</f>
        <v>0</v>
      </c>
      <c r="L203" s="36">
        <f ca="1">IFERROR(SUM(SUMIFS(INDIRECT(Hours[[#This Row],[table]]&amp;"[real time]"),INDIRECT(Hours[[#This Row],[table]]&amp;"[employee]"),C203,INDIRECT(Hours[[#This Row],[table]]&amp;"[date]"),F203,INDIRECT(Hours[[#This Row],[table]]&amp;"[code]"),{"a","x",""})),"")</f>
        <v>0</v>
      </c>
      <c r="M203" s="36">
        <f ca="1">IFERROR(SUMIFS(INDIRECT(Hours[[#This Row],[table]]&amp;"[real time]"),INDIRECT(Hours[[#This Row],[table]]&amp;"[employee]"),C203,INDIRECT(Hours[[#This Row],[table]]&amp;"[date]"),F203,INDIRECT(Hours[[#This Row],[table]]&amp;"[code]"),"m"),"")</f>
        <v>0</v>
      </c>
      <c r="N203" s="36">
        <f ca="1">IFERROR(SUMIFS(INDIRECT(Hours[[#This Row],[table]]&amp;"[real time]"),INDIRECT(Hours[[#This Row],[table]]&amp;"[employee]"),C203,INDIRECT(Hours[[#This Row],[table]]&amp;"[date]"),F203,INDIRECT(Hours[[#This Row],[table]]&amp;"[code]"),"e"),"")</f>
        <v>0</v>
      </c>
    </row>
    <row r="204" spans="1:14" x14ac:dyDescent="0.25">
      <c r="A204" s="28" t="s">
        <v>104</v>
      </c>
      <c r="B204" s="28" t="s">
        <v>105</v>
      </c>
      <c r="C204" s="1" t="s">
        <v>106</v>
      </c>
      <c r="D204" s="32" t="str">
        <f>IF(NOT(ISBLANK(Hours[[#This Row],[employee]])),IF(ISNUMBER(Hours[[#This Row],[employee]]),"REG","CON"),"")</f>
        <v>CON</v>
      </c>
      <c r="E204" s="32" t="str">
        <f>IF(Hours[[#This Row],[cat]]="CON","Contractors",IF(Hours[[#This Row],[cat]]="REG","Employees",""))</f>
        <v>Contractors</v>
      </c>
      <c r="F204" s="34">
        <v>44159</v>
      </c>
      <c r="G204" s="35">
        <v>0.25069444444444444</v>
      </c>
      <c r="H204" s="35">
        <v>0.66666666666666663</v>
      </c>
      <c r="I204" s="29">
        <f>IF(H204&lt;G204,24+H204-G204,H204-G204)</f>
        <v>0.41597222222222219</v>
      </c>
      <c r="J204" s="36">
        <v>0.375</v>
      </c>
      <c r="K204" s="36">
        <f ca="1">IFERROR(SUMIFS(INDIRECT(Hours[[#This Row],[table]]&amp;"[real time]"),INDIRECT(Hours[[#This Row],[table]]&amp;"[employee]"),C204,INDIRECT(Hours[[#This Row],[table]]&amp;"[date]"),F204),"")</f>
        <v>0</v>
      </c>
      <c r="L204" s="36">
        <f ca="1">IFERROR(SUM(SUMIFS(INDIRECT(Hours[[#This Row],[table]]&amp;"[real time]"),INDIRECT(Hours[[#This Row],[table]]&amp;"[employee]"),C204,INDIRECT(Hours[[#This Row],[table]]&amp;"[date]"),F204,INDIRECT(Hours[[#This Row],[table]]&amp;"[code]"),{"a","x",""})),"")</f>
        <v>0</v>
      </c>
      <c r="M204" s="36">
        <f ca="1">IFERROR(SUMIFS(INDIRECT(Hours[[#This Row],[table]]&amp;"[real time]"),INDIRECT(Hours[[#This Row],[table]]&amp;"[employee]"),C204,INDIRECT(Hours[[#This Row],[table]]&amp;"[date]"),F204,INDIRECT(Hours[[#This Row],[table]]&amp;"[code]"),"m"),"")</f>
        <v>0</v>
      </c>
      <c r="N204" s="36">
        <f ca="1">IFERROR(SUMIFS(INDIRECT(Hours[[#This Row],[table]]&amp;"[real time]"),INDIRECT(Hours[[#This Row],[table]]&amp;"[employee]"),C204,INDIRECT(Hours[[#This Row],[table]]&amp;"[date]"),F204,INDIRECT(Hours[[#This Row],[table]]&amp;"[code]"),"e"),"")</f>
        <v>0</v>
      </c>
    </row>
    <row r="205" spans="1:14" x14ac:dyDescent="0.25">
      <c r="A205" s="28" t="s">
        <v>104</v>
      </c>
      <c r="B205" s="28" t="s">
        <v>105</v>
      </c>
      <c r="C205" s="1" t="s">
        <v>106</v>
      </c>
      <c r="D205" s="32" t="str">
        <f>IF(NOT(ISBLANK(Hours[[#This Row],[employee]])),IF(ISNUMBER(Hours[[#This Row],[employee]]),"REG","CON"),"")</f>
        <v>CON</v>
      </c>
      <c r="E205" s="32" t="str">
        <f>IF(Hours[[#This Row],[cat]]="CON","Contractors",IF(Hours[[#This Row],[cat]]="REG","Employees",""))</f>
        <v>Contractors</v>
      </c>
      <c r="F205" s="34">
        <v>44160</v>
      </c>
      <c r="G205" s="35">
        <v>0.67638888888888893</v>
      </c>
      <c r="H205" s="35">
        <v>8.3333333333333329E-2</v>
      </c>
      <c r="I205" s="29">
        <f>IF(H205&lt;G205,24+H205-G205,H205-G205)</f>
        <v>23.406944444444441</v>
      </c>
      <c r="J205" s="36">
        <v>0.375</v>
      </c>
      <c r="K205" s="36">
        <f ca="1">IFERROR(SUMIFS(INDIRECT(Hours[[#This Row],[table]]&amp;"[real time]"),INDIRECT(Hours[[#This Row],[table]]&amp;"[employee]"),C205,INDIRECT(Hours[[#This Row],[table]]&amp;"[date]"),F205),"")</f>
        <v>0</v>
      </c>
      <c r="L205" s="36">
        <f ca="1">IFERROR(SUM(SUMIFS(INDIRECT(Hours[[#This Row],[table]]&amp;"[real time]"),INDIRECT(Hours[[#This Row],[table]]&amp;"[employee]"),C205,INDIRECT(Hours[[#This Row],[table]]&amp;"[date]"),F205,INDIRECT(Hours[[#This Row],[table]]&amp;"[code]"),{"a","x",""})),"")</f>
        <v>0</v>
      </c>
      <c r="M205" s="36">
        <f ca="1">IFERROR(SUMIFS(INDIRECT(Hours[[#This Row],[table]]&amp;"[real time]"),INDIRECT(Hours[[#This Row],[table]]&amp;"[employee]"),C205,INDIRECT(Hours[[#This Row],[table]]&amp;"[date]"),F205,INDIRECT(Hours[[#This Row],[table]]&amp;"[code]"),"m"),"")</f>
        <v>0</v>
      </c>
      <c r="N205" s="36">
        <f ca="1">IFERROR(SUMIFS(INDIRECT(Hours[[#This Row],[table]]&amp;"[real time]"),INDIRECT(Hours[[#This Row],[table]]&amp;"[employee]"),C205,INDIRECT(Hours[[#This Row],[table]]&amp;"[date]"),F205,INDIRECT(Hours[[#This Row],[table]]&amp;"[code]"),"e"),"")</f>
        <v>0</v>
      </c>
    </row>
    <row r="206" spans="1:14" x14ac:dyDescent="0.25">
      <c r="A206" s="28" t="s">
        <v>104</v>
      </c>
      <c r="B206" s="28" t="s">
        <v>105</v>
      </c>
      <c r="C206" s="1" t="s">
        <v>106</v>
      </c>
      <c r="D206" s="32" t="str">
        <f>IF(NOT(ISBLANK(Hours[[#This Row],[employee]])),IF(ISNUMBER(Hours[[#This Row],[employee]]),"REG","CON"),"")</f>
        <v>CON</v>
      </c>
      <c r="E206" s="32" t="str">
        <f>IF(Hours[[#This Row],[cat]]="CON","Contractors",IF(Hours[[#This Row],[cat]]="REG","Employees",""))</f>
        <v>Contractors</v>
      </c>
      <c r="F206" s="34">
        <v>44161</v>
      </c>
      <c r="G206" s="35">
        <v>0.67638888888888893</v>
      </c>
      <c r="H206" s="35">
        <v>8.3333333333333329E-2</v>
      </c>
      <c r="I206" s="29">
        <f>IF(H206&lt;G206,24+H206-G206,H206-G206)</f>
        <v>23.406944444444441</v>
      </c>
      <c r="J206" s="36">
        <v>0.375</v>
      </c>
      <c r="K206" s="36">
        <f ca="1">IFERROR(SUMIFS(INDIRECT(Hours[[#This Row],[table]]&amp;"[real time]"),INDIRECT(Hours[[#This Row],[table]]&amp;"[employee]"),C206,INDIRECT(Hours[[#This Row],[table]]&amp;"[date]"),F206),"")</f>
        <v>0</v>
      </c>
      <c r="L206" s="36">
        <f ca="1">IFERROR(SUM(SUMIFS(INDIRECT(Hours[[#This Row],[table]]&amp;"[real time]"),INDIRECT(Hours[[#This Row],[table]]&amp;"[employee]"),C206,INDIRECT(Hours[[#This Row],[table]]&amp;"[date]"),F206,INDIRECT(Hours[[#This Row],[table]]&amp;"[code]"),{"a","x",""})),"")</f>
        <v>0</v>
      </c>
      <c r="M206" s="36">
        <f ca="1">IFERROR(SUMIFS(INDIRECT(Hours[[#This Row],[table]]&amp;"[real time]"),INDIRECT(Hours[[#This Row],[table]]&amp;"[employee]"),C206,INDIRECT(Hours[[#This Row],[table]]&amp;"[date]"),F206,INDIRECT(Hours[[#This Row],[table]]&amp;"[code]"),"m"),"")</f>
        <v>0</v>
      </c>
      <c r="N206" s="36">
        <f ca="1">IFERROR(SUMIFS(INDIRECT(Hours[[#This Row],[table]]&amp;"[real time]"),INDIRECT(Hours[[#This Row],[table]]&amp;"[employee]"),C206,INDIRECT(Hours[[#This Row],[table]]&amp;"[date]"),F206,INDIRECT(Hours[[#This Row],[table]]&amp;"[code]"),"e"),"")</f>
        <v>0</v>
      </c>
    </row>
    <row r="207" spans="1:14" x14ac:dyDescent="0.25">
      <c r="A207" s="28" t="s">
        <v>104</v>
      </c>
      <c r="B207" s="28" t="s">
        <v>105</v>
      </c>
      <c r="C207" s="1" t="s">
        <v>106</v>
      </c>
      <c r="D207" s="32" t="str">
        <f>IF(NOT(ISBLANK(Hours[[#This Row],[employee]])),IF(ISNUMBER(Hours[[#This Row],[employee]]),"REG","CON"),"")</f>
        <v>CON</v>
      </c>
      <c r="E207" s="32" t="str">
        <f>IF(Hours[[#This Row],[cat]]="CON","Contractors",IF(Hours[[#This Row],[cat]]="REG","Employees",""))</f>
        <v>Contractors</v>
      </c>
      <c r="F207" s="34">
        <v>44162</v>
      </c>
      <c r="G207" s="35">
        <v>0.68194444444444446</v>
      </c>
      <c r="H207" s="35">
        <v>8.3333333333333329E-2</v>
      </c>
      <c r="I207" s="29">
        <f>IF(H207&lt;G207,24+H207-G207,H207-G207)</f>
        <v>23.401388888888889</v>
      </c>
      <c r="J207" s="36">
        <v>0.375</v>
      </c>
      <c r="K207" s="36">
        <f ca="1">IFERROR(SUMIFS(INDIRECT(Hours[[#This Row],[table]]&amp;"[real time]"),INDIRECT(Hours[[#This Row],[table]]&amp;"[employee]"),C207,INDIRECT(Hours[[#This Row],[table]]&amp;"[date]"),F207),"")</f>
        <v>0</v>
      </c>
      <c r="L207" s="36">
        <f ca="1">IFERROR(SUM(SUMIFS(INDIRECT(Hours[[#This Row],[table]]&amp;"[real time]"),INDIRECT(Hours[[#This Row],[table]]&amp;"[employee]"),C207,INDIRECT(Hours[[#This Row],[table]]&amp;"[date]"),F207,INDIRECT(Hours[[#This Row],[table]]&amp;"[code]"),{"a","x",""})),"")</f>
        <v>0</v>
      </c>
      <c r="M207" s="36">
        <f ca="1">IFERROR(SUMIFS(INDIRECT(Hours[[#This Row],[table]]&amp;"[real time]"),INDIRECT(Hours[[#This Row],[table]]&amp;"[employee]"),C207,INDIRECT(Hours[[#This Row],[table]]&amp;"[date]"),F207,INDIRECT(Hours[[#This Row],[table]]&amp;"[code]"),"m"),"")</f>
        <v>0</v>
      </c>
      <c r="N207" s="36">
        <f ca="1">IFERROR(SUMIFS(INDIRECT(Hours[[#This Row],[table]]&amp;"[real time]"),INDIRECT(Hours[[#This Row],[table]]&amp;"[employee]"),C207,INDIRECT(Hours[[#This Row],[table]]&amp;"[date]"),F207,INDIRECT(Hours[[#This Row],[table]]&amp;"[code]"),"e"),"")</f>
        <v>0</v>
      </c>
    </row>
    <row r="208" spans="1:14" x14ac:dyDescent="0.25">
      <c r="A208" s="28" t="s">
        <v>104</v>
      </c>
      <c r="B208" s="28" t="s">
        <v>105</v>
      </c>
      <c r="C208" s="1" t="s">
        <v>106</v>
      </c>
      <c r="D208" s="32" t="str">
        <f>IF(NOT(ISBLANK(Hours[[#This Row],[employee]])),IF(ISNUMBER(Hours[[#This Row],[employee]]),"REG","CON"),"")</f>
        <v>CON</v>
      </c>
      <c r="E208" s="32" t="str">
        <f>IF(Hours[[#This Row],[cat]]="CON","Contractors",IF(Hours[[#This Row],[cat]]="REG","Employees",""))</f>
        <v>Contractors</v>
      </c>
      <c r="F208" s="34">
        <v>44162</v>
      </c>
      <c r="G208" s="35">
        <v>0.67847222222222225</v>
      </c>
      <c r="H208" s="35">
        <v>4.1666666666666664E-2</v>
      </c>
      <c r="I208" s="29">
        <f>IF(H208&lt;G208,24+H208-G208,H208-G208)</f>
        <v>23.363194444444446</v>
      </c>
      <c r="J208" s="36">
        <v>0.33333333333333331</v>
      </c>
      <c r="K208" s="36">
        <f ca="1">IFERROR(SUMIFS(INDIRECT(Hours[[#This Row],[table]]&amp;"[real time]"),INDIRECT(Hours[[#This Row],[table]]&amp;"[employee]"),C208,INDIRECT(Hours[[#This Row],[table]]&amp;"[date]"),F208),"")</f>
        <v>0</v>
      </c>
      <c r="L208" s="36">
        <f ca="1">IFERROR(SUM(SUMIFS(INDIRECT(Hours[[#This Row],[table]]&amp;"[real time]"),INDIRECT(Hours[[#This Row],[table]]&amp;"[employee]"),C208,INDIRECT(Hours[[#This Row],[table]]&amp;"[date]"),F208,INDIRECT(Hours[[#This Row],[table]]&amp;"[code]"),{"a","x",""})),"")</f>
        <v>0</v>
      </c>
      <c r="M208" s="36">
        <f ca="1">IFERROR(SUMIFS(INDIRECT(Hours[[#This Row],[table]]&amp;"[real time]"),INDIRECT(Hours[[#This Row],[table]]&amp;"[employee]"),C208,INDIRECT(Hours[[#This Row],[table]]&amp;"[date]"),F208,INDIRECT(Hours[[#This Row],[table]]&amp;"[code]"),"m"),"")</f>
        <v>0</v>
      </c>
      <c r="N208" s="36">
        <f ca="1">IFERROR(SUMIFS(INDIRECT(Hours[[#This Row],[table]]&amp;"[real time]"),INDIRECT(Hours[[#This Row],[table]]&amp;"[employee]"),C208,INDIRECT(Hours[[#This Row],[table]]&amp;"[date]"),F208,INDIRECT(Hours[[#This Row],[table]]&amp;"[code]"),"e"),"")</f>
        <v>0</v>
      </c>
    </row>
    <row r="209" spans="1:14" x14ac:dyDescent="0.25">
      <c r="A209" s="28" t="s">
        <v>104</v>
      </c>
      <c r="B209" s="28" t="s">
        <v>105</v>
      </c>
      <c r="C209" s="1" t="s">
        <v>106</v>
      </c>
      <c r="D209" s="32" t="str">
        <f>IF(NOT(ISBLANK(Hours[[#This Row],[employee]])),IF(ISNUMBER(Hours[[#This Row],[employee]]),"REG","CON"),"")</f>
        <v>CON</v>
      </c>
      <c r="E209" s="32" t="str">
        <f>IF(Hours[[#This Row],[cat]]="CON","Contractors",IF(Hours[[#This Row],[cat]]="REG","Employees",""))</f>
        <v>Contractors</v>
      </c>
      <c r="F209" s="34">
        <v>44164</v>
      </c>
      <c r="G209" s="35">
        <v>0.2590277777777778</v>
      </c>
      <c r="H209" s="35">
        <v>0.58333333333333337</v>
      </c>
      <c r="I209" s="29">
        <f>IF(H209&lt;G209,24+H209-G209,H209-G209)</f>
        <v>0.32430555555555557</v>
      </c>
      <c r="J209" s="36">
        <v>0.29166666666666669</v>
      </c>
      <c r="K209" s="36">
        <f ca="1">IFERROR(SUMIFS(INDIRECT(Hours[[#This Row],[table]]&amp;"[real time]"),INDIRECT(Hours[[#This Row],[table]]&amp;"[employee]"),C209,INDIRECT(Hours[[#This Row],[table]]&amp;"[date]"),F209),"")</f>
        <v>0</v>
      </c>
      <c r="L209" s="36">
        <f ca="1">IFERROR(SUM(SUMIFS(INDIRECT(Hours[[#This Row],[table]]&amp;"[real time]"),INDIRECT(Hours[[#This Row],[table]]&amp;"[employee]"),C209,INDIRECT(Hours[[#This Row],[table]]&amp;"[date]"),F209,INDIRECT(Hours[[#This Row],[table]]&amp;"[code]"),{"a","x",""})),"")</f>
        <v>0</v>
      </c>
      <c r="M209" s="36">
        <f ca="1">IFERROR(SUMIFS(INDIRECT(Hours[[#This Row],[table]]&amp;"[real time]"),INDIRECT(Hours[[#This Row],[table]]&amp;"[employee]"),C209,INDIRECT(Hours[[#This Row],[table]]&amp;"[date]"),F209,INDIRECT(Hours[[#This Row],[table]]&amp;"[code]"),"m"),"")</f>
        <v>0</v>
      </c>
      <c r="N209" s="36">
        <f ca="1">IFERROR(SUMIFS(INDIRECT(Hours[[#This Row],[table]]&amp;"[real time]"),INDIRECT(Hours[[#This Row],[table]]&amp;"[employee]"),C209,INDIRECT(Hours[[#This Row],[table]]&amp;"[date]"),F209,INDIRECT(Hours[[#This Row],[table]]&amp;"[code]"),"e"),"")</f>
        <v>0</v>
      </c>
    </row>
    <row r="210" spans="1:14" x14ac:dyDescent="0.25">
      <c r="A210" s="28" t="s">
        <v>104</v>
      </c>
      <c r="B210" s="28" t="s">
        <v>105</v>
      </c>
      <c r="C210" s="1" t="s">
        <v>106</v>
      </c>
      <c r="D210" s="32" t="str">
        <f>IF(NOT(ISBLANK(Hours[[#This Row],[employee]])),IF(ISNUMBER(Hours[[#This Row],[employee]]),"REG","CON"),"")</f>
        <v>CON</v>
      </c>
      <c r="E210" s="32" t="str">
        <f>IF(Hours[[#This Row],[cat]]="CON","Contractors",IF(Hours[[#This Row],[cat]]="REG","Employees",""))</f>
        <v>Contractors</v>
      </c>
      <c r="F210" s="34">
        <v>44165</v>
      </c>
      <c r="G210" s="35">
        <v>0.67013888888888884</v>
      </c>
      <c r="H210" s="35">
        <v>8.3333333333333329E-2</v>
      </c>
      <c r="I210" s="29">
        <f>IF(H210&lt;G210,24+H210-G210,H210-G210)</f>
        <v>23.413194444444443</v>
      </c>
      <c r="J210" s="36">
        <v>0.375</v>
      </c>
      <c r="K210" s="36">
        <f ca="1">IFERROR(SUMIFS(INDIRECT(Hours[[#This Row],[table]]&amp;"[real time]"),INDIRECT(Hours[[#This Row],[table]]&amp;"[employee]"),C210,INDIRECT(Hours[[#This Row],[table]]&amp;"[date]"),F210),"")</f>
        <v>0</v>
      </c>
      <c r="L210" s="36">
        <f ca="1">IFERROR(SUM(SUMIFS(INDIRECT(Hours[[#This Row],[table]]&amp;"[real time]"),INDIRECT(Hours[[#This Row],[table]]&amp;"[employee]"),C210,INDIRECT(Hours[[#This Row],[table]]&amp;"[date]"),F210,INDIRECT(Hours[[#This Row],[table]]&amp;"[code]"),{"a","x",""})),"")</f>
        <v>0</v>
      </c>
      <c r="M210" s="36">
        <f ca="1">IFERROR(SUMIFS(INDIRECT(Hours[[#This Row],[table]]&amp;"[real time]"),INDIRECT(Hours[[#This Row],[table]]&amp;"[employee]"),C210,INDIRECT(Hours[[#This Row],[table]]&amp;"[date]"),F210,INDIRECT(Hours[[#This Row],[table]]&amp;"[code]"),"m"),"")</f>
        <v>0</v>
      </c>
      <c r="N210" s="36">
        <f ca="1">IFERROR(SUMIFS(INDIRECT(Hours[[#This Row],[table]]&amp;"[real time]"),INDIRECT(Hours[[#This Row],[table]]&amp;"[employee]"),C210,INDIRECT(Hours[[#This Row],[table]]&amp;"[date]"),F210,INDIRECT(Hours[[#This Row],[table]]&amp;"[code]"),"e"),"")</f>
        <v>0</v>
      </c>
    </row>
    <row r="211" spans="1:14" x14ac:dyDescent="0.25">
      <c r="A211" s="28" t="s">
        <v>104</v>
      </c>
      <c r="B211" s="28" t="s">
        <v>105</v>
      </c>
      <c r="C211" s="1" t="s">
        <v>106</v>
      </c>
      <c r="D211" s="32" t="str">
        <f>IF(NOT(ISBLANK(Hours[[#This Row],[employee]])),IF(ISNUMBER(Hours[[#This Row],[employee]]),"REG","CON"),"")</f>
        <v>CON</v>
      </c>
      <c r="E211" s="32" t="str">
        <f>IF(Hours[[#This Row],[cat]]="CON","Contractors",IF(Hours[[#This Row],[cat]]="REG","Employees",""))</f>
        <v>Contractors</v>
      </c>
      <c r="F211" s="34">
        <v>44166</v>
      </c>
      <c r="G211" s="35">
        <v>0.66875000000000007</v>
      </c>
      <c r="H211" s="35">
        <v>8.4027777777777771E-2</v>
      </c>
      <c r="I211" s="29">
        <f>IF(H211&lt;G211,24+H211-G211,H211-G211)</f>
        <v>23.415277777777778</v>
      </c>
      <c r="J211" s="36">
        <v>0.375</v>
      </c>
      <c r="K211" s="36">
        <f ca="1">IFERROR(SUMIFS(INDIRECT(Hours[[#This Row],[table]]&amp;"[real time]"),INDIRECT(Hours[[#This Row],[table]]&amp;"[employee]"),C211,INDIRECT(Hours[[#This Row],[table]]&amp;"[date]"),F211),"")</f>
        <v>0</v>
      </c>
      <c r="L211" s="36">
        <f ca="1">IFERROR(SUM(SUMIFS(INDIRECT(Hours[[#This Row],[table]]&amp;"[real time]"),INDIRECT(Hours[[#This Row],[table]]&amp;"[employee]"),C211,INDIRECT(Hours[[#This Row],[table]]&amp;"[date]"),F211,INDIRECT(Hours[[#This Row],[table]]&amp;"[code]"),{"a","x",""})),"")</f>
        <v>0</v>
      </c>
      <c r="M211" s="36">
        <f ca="1">IFERROR(SUMIFS(INDIRECT(Hours[[#This Row],[table]]&amp;"[real time]"),INDIRECT(Hours[[#This Row],[table]]&amp;"[employee]"),C211,INDIRECT(Hours[[#This Row],[table]]&amp;"[date]"),F211,INDIRECT(Hours[[#This Row],[table]]&amp;"[code]"),"m"),"")</f>
        <v>0</v>
      </c>
      <c r="N211" s="36">
        <f ca="1">IFERROR(SUMIFS(INDIRECT(Hours[[#This Row],[table]]&amp;"[real time]"),INDIRECT(Hours[[#This Row],[table]]&amp;"[employee]"),C211,INDIRECT(Hours[[#This Row],[table]]&amp;"[date]"),F211,INDIRECT(Hours[[#This Row],[table]]&amp;"[code]"),"e"),"")</f>
        <v>0</v>
      </c>
    </row>
    <row r="212" spans="1:14" x14ac:dyDescent="0.25">
      <c r="A212" s="28" t="s">
        <v>104</v>
      </c>
      <c r="B212" s="28" t="s">
        <v>105</v>
      </c>
      <c r="C212" s="1" t="s">
        <v>106</v>
      </c>
      <c r="D212" s="32" t="str">
        <f>IF(NOT(ISBLANK(Hours[[#This Row],[employee]])),IF(ISNUMBER(Hours[[#This Row],[employee]]),"REG","CON"),"")</f>
        <v>CON</v>
      </c>
      <c r="E212" s="32" t="str">
        <f>IF(Hours[[#This Row],[cat]]="CON","Contractors",IF(Hours[[#This Row],[cat]]="REG","Employees",""))</f>
        <v>Contractors</v>
      </c>
      <c r="F212" s="34">
        <v>44167</v>
      </c>
      <c r="G212" s="35">
        <v>0.67152777777777783</v>
      </c>
      <c r="H212" s="35">
        <v>4.3750000000000004E-2</v>
      </c>
      <c r="I212" s="29">
        <f>IF(H212&lt;G212,24+H212-G212,H212-G212)</f>
        <v>23.37222222222222</v>
      </c>
      <c r="J212" s="36">
        <v>0.33333333333333331</v>
      </c>
      <c r="K212" s="36">
        <f ca="1">IFERROR(SUMIFS(INDIRECT(Hours[[#This Row],[table]]&amp;"[real time]"),INDIRECT(Hours[[#This Row],[table]]&amp;"[employee]"),C212,INDIRECT(Hours[[#This Row],[table]]&amp;"[date]"),F212),"")</f>
        <v>0</v>
      </c>
      <c r="L212" s="36">
        <f ca="1">IFERROR(SUM(SUMIFS(INDIRECT(Hours[[#This Row],[table]]&amp;"[real time]"),INDIRECT(Hours[[#This Row],[table]]&amp;"[employee]"),C212,INDIRECT(Hours[[#This Row],[table]]&amp;"[date]"),F212,INDIRECT(Hours[[#This Row],[table]]&amp;"[code]"),{"a","x",""})),"")</f>
        <v>0</v>
      </c>
      <c r="M212" s="36">
        <f ca="1">IFERROR(SUMIFS(INDIRECT(Hours[[#This Row],[table]]&amp;"[real time]"),INDIRECT(Hours[[#This Row],[table]]&amp;"[employee]"),C212,INDIRECT(Hours[[#This Row],[table]]&amp;"[date]"),F212,INDIRECT(Hours[[#This Row],[table]]&amp;"[code]"),"m"),"")</f>
        <v>0</v>
      </c>
      <c r="N212" s="36">
        <f ca="1">IFERROR(SUMIFS(INDIRECT(Hours[[#This Row],[table]]&amp;"[real time]"),INDIRECT(Hours[[#This Row],[table]]&amp;"[employee]"),C212,INDIRECT(Hours[[#This Row],[table]]&amp;"[date]"),F212,INDIRECT(Hours[[#This Row],[table]]&amp;"[code]"),"e"),"")</f>
        <v>0</v>
      </c>
    </row>
    <row r="213" spans="1:14" x14ac:dyDescent="0.25">
      <c r="A213" s="28" t="s">
        <v>104</v>
      </c>
      <c r="B213" s="28" t="s">
        <v>105</v>
      </c>
      <c r="C213" s="1" t="s">
        <v>106</v>
      </c>
      <c r="D213" s="32" t="str">
        <f>IF(NOT(ISBLANK(Hours[[#This Row],[employee]])),IF(ISNUMBER(Hours[[#This Row],[employee]]),"REG","CON"),"")</f>
        <v>CON</v>
      </c>
      <c r="E213" s="32" t="str">
        <f>IF(Hours[[#This Row],[cat]]="CON","Contractors",IF(Hours[[#This Row],[cat]]="REG","Employees",""))</f>
        <v>Contractors</v>
      </c>
      <c r="F213" s="34">
        <v>44168</v>
      </c>
      <c r="G213" s="35">
        <v>0.67499999999999993</v>
      </c>
      <c r="H213" s="35">
        <v>8.3333333333333329E-2</v>
      </c>
      <c r="I213" s="29">
        <f>IF(H213&lt;G213,24+H213-G213,H213-G213)</f>
        <v>23.408333333333331</v>
      </c>
      <c r="J213" s="36">
        <v>0.375</v>
      </c>
      <c r="K213" s="36">
        <f ca="1">IFERROR(SUMIFS(INDIRECT(Hours[[#This Row],[table]]&amp;"[real time]"),INDIRECT(Hours[[#This Row],[table]]&amp;"[employee]"),C213,INDIRECT(Hours[[#This Row],[table]]&amp;"[date]"),F213),"")</f>
        <v>0</v>
      </c>
      <c r="L213" s="36">
        <f ca="1">IFERROR(SUM(SUMIFS(INDIRECT(Hours[[#This Row],[table]]&amp;"[real time]"),INDIRECT(Hours[[#This Row],[table]]&amp;"[employee]"),C213,INDIRECT(Hours[[#This Row],[table]]&amp;"[date]"),F213,INDIRECT(Hours[[#This Row],[table]]&amp;"[code]"),{"a","x",""})),"")</f>
        <v>0</v>
      </c>
      <c r="M213" s="36">
        <f ca="1">IFERROR(SUMIFS(INDIRECT(Hours[[#This Row],[table]]&amp;"[real time]"),INDIRECT(Hours[[#This Row],[table]]&amp;"[employee]"),C213,INDIRECT(Hours[[#This Row],[table]]&amp;"[date]"),F213,INDIRECT(Hours[[#This Row],[table]]&amp;"[code]"),"m"),"")</f>
        <v>0</v>
      </c>
      <c r="N213" s="36">
        <f ca="1">IFERROR(SUMIFS(INDIRECT(Hours[[#This Row],[table]]&amp;"[real time]"),INDIRECT(Hours[[#This Row],[table]]&amp;"[employee]"),C213,INDIRECT(Hours[[#This Row],[table]]&amp;"[date]"),F213,INDIRECT(Hours[[#This Row],[table]]&amp;"[code]"),"e"),"")</f>
        <v>0</v>
      </c>
    </row>
    <row r="214" spans="1:14" x14ac:dyDescent="0.25">
      <c r="A214" s="28" t="s">
        <v>104</v>
      </c>
      <c r="B214" s="28" t="s">
        <v>105</v>
      </c>
      <c r="C214" s="1" t="s">
        <v>106</v>
      </c>
      <c r="D214" s="32" t="str">
        <f>IF(NOT(ISBLANK(Hours[[#This Row],[employee]])),IF(ISNUMBER(Hours[[#This Row],[employee]]),"REG","CON"),"")</f>
        <v>CON</v>
      </c>
      <c r="E214" s="32" t="str">
        <f>IF(Hours[[#This Row],[cat]]="CON","Contractors",IF(Hours[[#This Row],[cat]]="REG","Employees",""))</f>
        <v>Contractors</v>
      </c>
      <c r="F214" s="34">
        <v>44169</v>
      </c>
      <c r="G214" s="35">
        <v>0.67499999999999993</v>
      </c>
      <c r="H214" s="35">
        <v>4.2361111111111106E-2</v>
      </c>
      <c r="I214" s="29">
        <f>IF(H214&lt;G214,24+H214-G214,H214-G214)</f>
        <v>23.367361111111112</v>
      </c>
      <c r="J214" s="36">
        <v>0.33333333333333331</v>
      </c>
      <c r="K214" s="36">
        <f ca="1">IFERROR(SUMIFS(INDIRECT(Hours[[#This Row],[table]]&amp;"[real time]"),INDIRECT(Hours[[#This Row],[table]]&amp;"[employee]"),C214,INDIRECT(Hours[[#This Row],[table]]&amp;"[date]"),F214),"")</f>
        <v>0</v>
      </c>
      <c r="L214" s="36">
        <f ca="1">IFERROR(SUM(SUMIFS(INDIRECT(Hours[[#This Row],[table]]&amp;"[real time]"),INDIRECT(Hours[[#This Row],[table]]&amp;"[employee]"),C214,INDIRECT(Hours[[#This Row],[table]]&amp;"[date]"),F214,INDIRECT(Hours[[#This Row],[table]]&amp;"[code]"),{"a","x",""})),"")</f>
        <v>0</v>
      </c>
      <c r="M214" s="36">
        <f ca="1">IFERROR(SUMIFS(INDIRECT(Hours[[#This Row],[table]]&amp;"[real time]"),INDIRECT(Hours[[#This Row],[table]]&amp;"[employee]"),C214,INDIRECT(Hours[[#This Row],[table]]&amp;"[date]"),F214,INDIRECT(Hours[[#This Row],[table]]&amp;"[code]"),"m"),"")</f>
        <v>0</v>
      </c>
      <c r="N214" s="36">
        <f ca="1">IFERROR(SUMIFS(INDIRECT(Hours[[#This Row],[table]]&amp;"[real time]"),INDIRECT(Hours[[#This Row],[table]]&amp;"[employee]"),C214,INDIRECT(Hours[[#This Row],[table]]&amp;"[date]"),F214,INDIRECT(Hours[[#This Row],[table]]&amp;"[code]"),"e"),"")</f>
        <v>0</v>
      </c>
    </row>
    <row r="215" spans="1:14" x14ac:dyDescent="0.25">
      <c r="A215" s="28" t="s">
        <v>107</v>
      </c>
      <c r="B215" s="28" t="s">
        <v>108</v>
      </c>
      <c r="C215" s="1" t="s">
        <v>109</v>
      </c>
      <c r="D215" s="32" t="str">
        <f>IF(NOT(ISBLANK(Hours[[#This Row],[employee]])),IF(ISNUMBER(Hours[[#This Row],[employee]]),"REG","CON"),"")</f>
        <v>CON</v>
      </c>
      <c r="E215" s="32" t="str">
        <f>IF(Hours[[#This Row],[cat]]="CON","Contractors",IF(Hours[[#This Row],[cat]]="REG","Employees",""))</f>
        <v>Contractors</v>
      </c>
      <c r="F215" s="34">
        <v>44156</v>
      </c>
      <c r="G215" s="35">
        <v>0.25208333333333333</v>
      </c>
      <c r="H215" s="35">
        <v>0.5625</v>
      </c>
      <c r="I215" s="29">
        <f>IF(H215&lt;G215,24+H215-G215,H215-G215)</f>
        <v>0.31041666666666667</v>
      </c>
      <c r="J215" s="36">
        <v>0.29166666666666669</v>
      </c>
      <c r="K215" s="36">
        <f ca="1">IFERROR(SUMIFS(INDIRECT(Hours[[#This Row],[table]]&amp;"[real time]"),INDIRECT(Hours[[#This Row],[table]]&amp;"[employee]"),C215,INDIRECT(Hours[[#This Row],[table]]&amp;"[date]"),F215),"")</f>
        <v>0</v>
      </c>
      <c r="L215" s="36">
        <f ca="1">IFERROR(SUM(SUMIFS(INDIRECT(Hours[[#This Row],[table]]&amp;"[real time]"),INDIRECT(Hours[[#This Row],[table]]&amp;"[employee]"),C215,INDIRECT(Hours[[#This Row],[table]]&amp;"[date]"),F215,INDIRECT(Hours[[#This Row],[table]]&amp;"[code]"),{"a","x",""})),"")</f>
        <v>0</v>
      </c>
      <c r="M215" s="36">
        <f ca="1">IFERROR(SUMIFS(INDIRECT(Hours[[#This Row],[table]]&amp;"[real time]"),INDIRECT(Hours[[#This Row],[table]]&amp;"[employee]"),C215,INDIRECT(Hours[[#This Row],[table]]&amp;"[date]"),F215,INDIRECT(Hours[[#This Row],[table]]&amp;"[code]"),"m"),"")</f>
        <v>0</v>
      </c>
      <c r="N215" s="36">
        <f ca="1">IFERROR(SUMIFS(INDIRECT(Hours[[#This Row],[table]]&amp;"[real time]"),INDIRECT(Hours[[#This Row],[table]]&amp;"[employee]"),C215,INDIRECT(Hours[[#This Row],[table]]&amp;"[date]"),F215,INDIRECT(Hours[[#This Row],[table]]&amp;"[code]"),"e"),"")</f>
        <v>0</v>
      </c>
    </row>
    <row r="216" spans="1:14" x14ac:dyDescent="0.25">
      <c r="A216" s="28" t="s">
        <v>107</v>
      </c>
      <c r="B216" s="28" t="s">
        <v>108</v>
      </c>
      <c r="C216" s="1" t="s">
        <v>109</v>
      </c>
      <c r="D216" s="32" t="str">
        <f>IF(NOT(ISBLANK(Hours[[#This Row],[employee]])),IF(ISNUMBER(Hours[[#This Row],[employee]]),"REG","CON"),"")</f>
        <v>CON</v>
      </c>
      <c r="E216" s="32" t="str">
        <f>IF(Hours[[#This Row],[cat]]="CON","Contractors",IF(Hours[[#This Row],[cat]]="REG","Employees",""))</f>
        <v>Contractors</v>
      </c>
      <c r="F216" s="34">
        <v>44165</v>
      </c>
      <c r="G216" s="35">
        <v>0.29652777777777778</v>
      </c>
      <c r="H216" s="35">
        <v>0.63124999999999998</v>
      </c>
      <c r="I216" s="29">
        <f>IF(H216&lt;G216,24+H216-G216,H216-G216)</f>
        <v>0.3347222222222222</v>
      </c>
      <c r="J216" s="36">
        <v>0.29166666666666669</v>
      </c>
      <c r="K216" s="36">
        <f ca="1">IFERROR(SUMIFS(INDIRECT(Hours[[#This Row],[table]]&amp;"[real time]"),INDIRECT(Hours[[#This Row],[table]]&amp;"[employee]"),C216,INDIRECT(Hours[[#This Row],[table]]&amp;"[date]"),F216),"")</f>
        <v>0</v>
      </c>
      <c r="L216" s="36">
        <f ca="1">IFERROR(SUM(SUMIFS(INDIRECT(Hours[[#This Row],[table]]&amp;"[real time]"),INDIRECT(Hours[[#This Row],[table]]&amp;"[employee]"),C216,INDIRECT(Hours[[#This Row],[table]]&amp;"[date]"),F216,INDIRECT(Hours[[#This Row],[table]]&amp;"[code]"),{"a","x",""})),"")</f>
        <v>0</v>
      </c>
      <c r="M216" s="36">
        <f ca="1">IFERROR(SUMIFS(INDIRECT(Hours[[#This Row],[table]]&amp;"[real time]"),INDIRECT(Hours[[#This Row],[table]]&amp;"[employee]"),C216,INDIRECT(Hours[[#This Row],[table]]&amp;"[date]"),F216,INDIRECT(Hours[[#This Row],[table]]&amp;"[code]"),"m"),"")</f>
        <v>0</v>
      </c>
      <c r="N216" s="36">
        <f ca="1">IFERROR(SUMIFS(INDIRECT(Hours[[#This Row],[table]]&amp;"[real time]"),INDIRECT(Hours[[#This Row],[table]]&amp;"[employee]"),C216,INDIRECT(Hours[[#This Row],[table]]&amp;"[date]"),F216,INDIRECT(Hours[[#This Row],[table]]&amp;"[code]"),"e"),"")</f>
        <v>0</v>
      </c>
    </row>
    <row r="217" spans="1:14" x14ac:dyDescent="0.25">
      <c r="A217" s="28" t="s">
        <v>107</v>
      </c>
      <c r="B217" s="28" t="s">
        <v>108</v>
      </c>
      <c r="C217" s="1" t="s">
        <v>109</v>
      </c>
      <c r="D217" s="32" t="str">
        <f>IF(NOT(ISBLANK(Hours[[#This Row],[employee]])),IF(ISNUMBER(Hours[[#This Row],[employee]]),"REG","CON"),"")</f>
        <v>CON</v>
      </c>
      <c r="E217" s="32" t="str">
        <f>IF(Hours[[#This Row],[cat]]="CON","Contractors",IF(Hours[[#This Row],[cat]]="REG","Employees",""))</f>
        <v>Contractors</v>
      </c>
      <c r="F217" s="34">
        <v>44166</v>
      </c>
      <c r="G217" s="35">
        <v>0.26944444444444443</v>
      </c>
      <c r="H217" s="35">
        <v>0.64444444444444449</v>
      </c>
      <c r="I217" s="29">
        <f>IF(H217&lt;G217,24+H217-G217,H217-G217)</f>
        <v>0.37500000000000006</v>
      </c>
      <c r="J217" s="36">
        <v>0.35416666666666669</v>
      </c>
      <c r="K217" s="36">
        <f ca="1">IFERROR(SUMIFS(INDIRECT(Hours[[#This Row],[table]]&amp;"[real time]"),INDIRECT(Hours[[#This Row],[table]]&amp;"[employee]"),C217,INDIRECT(Hours[[#This Row],[table]]&amp;"[date]"),F217),"")</f>
        <v>0</v>
      </c>
      <c r="L217" s="36">
        <f ca="1">IFERROR(SUM(SUMIFS(INDIRECT(Hours[[#This Row],[table]]&amp;"[real time]"),INDIRECT(Hours[[#This Row],[table]]&amp;"[employee]"),C217,INDIRECT(Hours[[#This Row],[table]]&amp;"[date]"),F217,INDIRECT(Hours[[#This Row],[table]]&amp;"[code]"),{"a","x",""})),"")</f>
        <v>0</v>
      </c>
      <c r="M217" s="36">
        <f ca="1">IFERROR(SUMIFS(INDIRECT(Hours[[#This Row],[table]]&amp;"[real time]"),INDIRECT(Hours[[#This Row],[table]]&amp;"[employee]"),C217,INDIRECT(Hours[[#This Row],[table]]&amp;"[date]"),F217,INDIRECT(Hours[[#This Row],[table]]&amp;"[code]"),"m"),"")</f>
        <v>0</v>
      </c>
      <c r="N217" s="36">
        <f ca="1">IFERROR(SUMIFS(INDIRECT(Hours[[#This Row],[table]]&amp;"[real time]"),INDIRECT(Hours[[#This Row],[table]]&amp;"[employee]"),C217,INDIRECT(Hours[[#This Row],[table]]&amp;"[date]"),F217,INDIRECT(Hours[[#This Row],[table]]&amp;"[code]"),"e"),"")</f>
        <v>0</v>
      </c>
    </row>
    <row r="218" spans="1:14" x14ac:dyDescent="0.25">
      <c r="A218" s="28" t="s">
        <v>107</v>
      </c>
      <c r="B218" s="28" t="s">
        <v>108</v>
      </c>
      <c r="C218" s="1" t="s">
        <v>109</v>
      </c>
      <c r="D218" s="32" t="str">
        <f>IF(NOT(ISBLANK(Hours[[#This Row],[employee]])),IF(ISNUMBER(Hours[[#This Row],[employee]]),"REG","CON"),"")</f>
        <v>CON</v>
      </c>
      <c r="E218" s="32" t="str">
        <f>IF(Hours[[#This Row],[cat]]="CON","Contractors",IF(Hours[[#This Row],[cat]]="REG","Employees",""))</f>
        <v>Contractors</v>
      </c>
      <c r="F218" s="34">
        <v>44167</v>
      </c>
      <c r="G218" s="35">
        <v>0.27083333333333331</v>
      </c>
      <c r="H218" s="35">
        <v>0.625</v>
      </c>
      <c r="I218" s="29">
        <f>IF(H218&lt;G218,24+H218-G218,H218-G218)</f>
        <v>0.35416666666666669</v>
      </c>
      <c r="J218" s="36">
        <v>0.33333333333333331</v>
      </c>
      <c r="K218" s="36">
        <f ca="1">IFERROR(SUMIFS(INDIRECT(Hours[[#This Row],[table]]&amp;"[real time]"),INDIRECT(Hours[[#This Row],[table]]&amp;"[employee]"),C218,INDIRECT(Hours[[#This Row],[table]]&amp;"[date]"),F218),"")</f>
        <v>0</v>
      </c>
      <c r="L218" s="36">
        <f ca="1">IFERROR(SUM(SUMIFS(INDIRECT(Hours[[#This Row],[table]]&amp;"[real time]"),INDIRECT(Hours[[#This Row],[table]]&amp;"[employee]"),C218,INDIRECT(Hours[[#This Row],[table]]&amp;"[date]"),F218,INDIRECT(Hours[[#This Row],[table]]&amp;"[code]"),{"a","x",""})),"")</f>
        <v>0</v>
      </c>
      <c r="M218" s="36">
        <f ca="1">IFERROR(SUMIFS(INDIRECT(Hours[[#This Row],[table]]&amp;"[real time]"),INDIRECT(Hours[[#This Row],[table]]&amp;"[employee]"),C218,INDIRECT(Hours[[#This Row],[table]]&amp;"[date]"),F218,INDIRECT(Hours[[#This Row],[table]]&amp;"[code]"),"m"),"")</f>
        <v>0</v>
      </c>
      <c r="N218" s="36">
        <f ca="1">IFERROR(SUMIFS(INDIRECT(Hours[[#This Row],[table]]&amp;"[real time]"),INDIRECT(Hours[[#This Row],[table]]&amp;"[employee]"),C218,INDIRECT(Hours[[#This Row],[table]]&amp;"[date]"),F218,INDIRECT(Hours[[#This Row],[table]]&amp;"[code]"),"e"),"")</f>
        <v>0</v>
      </c>
    </row>
    <row r="219" spans="1:14" x14ac:dyDescent="0.25">
      <c r="A219" s="28" t="s">
        <v>107</v>
      </c>
      <c r="B219" s="28" t="s">
        <v>108</v>
      </c>
      <c r="C219" s="1" t="s">
        <v>109</v>
      </c>
      <c r="D219" s="32" t="str">
        <f>IF(NOT(ISBLANK(Hours[[#This Row],[employee]])),IF(ISNUMBER(Hours[[#This Row],[employee]]),"REG","CON"),"")</f>
        <v>CON</v>
      </c>
      <c r="E219" s="32" t="str">
        <f>IF(Hours[[#This Row],[cat]]="CON","Contractors",IF(Hours[[#This Row],[cat]]="REG","Employees",""))</f>
        <v>Contractors</v>
      </c>
      <c r="F219" s="34">
        <v>44168</v>
      </c>
      <c r="G219" s="35">
        <v>0.27013888888888887</v>
      </c>
      <c r="H219" s="35">
        <v>0.64583333333333337</v>
      </c>
      <c r="I219" s="29">
        <f>IF(H219&lt;G219,24+H219-G219,H219-G219)</f>
        <v>0.3756944444444445</v>
      </c>
      <c r="J219" s="36">
        <v>0.35416666666666669</v>
      </c>
      <c r="K219" s="36">
        <f ca="1">IFERROR(SUMIFS(INDIRECT(Hours[[#This Row],[table]]&amp;"[real time]"),INDIRECT(Hours[[#This Row],[table]]&amp;"[employee]"),C219,INDIRECT(Hours[[#This Row],[table]]&amp;"[date]"),F219),"")</f>
        <v>0</v>
      </c>
      <c r="L219" s="36">
        <f ca="1">IFERROR(SUM(SUMIFS(INDIRECT(Hours[[#This Row],[table]]&amp;"[real time]"),INDIRECT(Hours[[#This Row],[table]]&amp;"[employee]"),C219,INDIRECT(Hours[[#This Row],[table]]&amp;"[date]"),F219,INDIRECT(Hours[[#This Row],[table]]&amp;"[code]"),{"a","x",""})),"")</f>
        <v>0</v>
      </c>
      <c r="M219" s="36">
        <f ca="1">IFERROR(SUMIFS(INDIRECT(Hours[[#This Row],[table]]&amp;"[real time]"),INDIRECT(Hours[[#This Row],[table]]&amp;"[employee]"),C219,INDIRECT(Hours[[#This Row],[table]]&amp;"[date]"),F219,INDIRECT(Hours[[#This Row],[table]]&amp;"[code]"),"m"),"")</f>
        <v>0</v>
      </c>
      <c r="N219" s="36">
        <f ca="1">IFERROR(SUMIFS(INDIRECT(Hours[[#This Row],[table]]&amp;"[real time]"),INDIRECT(Hours[[#This Row],[table]]&amp;"[employee]"),C219,INDIRECT(Hours[[#This Row],[table]]&amp;"[date]"),F219,INDIRECT(Hours[[#This Row],[table]]&amp;"[code]"),"e"),"")</f>
        <v>0</v>
      </c>
    </row>
    <row r="220" spans="1:14" x14ac:dyDescent="0.25">
      <c r="A220" s="28" t="s">
        <v>107</v>
      </c>
      <c r="B220" s="28" t="s">
        <v>108</v>
      </c>
      <c r="C220" s="1" t="s">
        <v>109</v>
      </c>
      <c r="D220" s="32" t="str">
        <f>IF(NOT(ISBLANK(Hours[[#This Row],[employee]])),IF(ISNUMBER(Hours[[#This Row],[employee]]),"REG","CON"),"")</f>
        <v>CON</v>
      </c>
      <c r="E220" s="32" t="str">
        <f>IF(Hours[[#This Row],[cat]]="CON","Contractors",IF(Hours[[#This Row],[cat]]="REG","Employees",""))</f>
        <v>Contractors</v>
      </c>
      <c r="F220" s="34">
        <v>44169</v>
      </c>
      <c r="G220" s="35">
        <v>0.2722222222222222</v>
      </c>
      <c r="H220" s="35">
        <v>0.6875</v>
      </c>
      <c r="I220" s="29">
        <f>IF(H220&lt;G220,24+H220-G220,H220-G220)</f>
        <v>0.4152777777777778</v>
      </c>
      <c r="J220" s="36">
        <v>0.39583333333333331</v>
      </c>
      <c r="K220" s="36">
        <f ca="1">IFERROR(SUMIFS(INDIRECT(Hours[[#This Row],[table]]&amp;"[real time]"),INDIRECT(Hours[[#This Row],[table]]&amp;"[employee]"),C220,INDIRECT(Hours[[#This Row],[table]]&amp;"[date]"),F220),"")</f>
        <v>0</v>
      </c>
      <c r="L220" s="36">
        <f ca="1">IFERROR(SUM(SUMIFS(INDIRECT(Hours[[#This Row],[table]]&amp;"[real time]"),INDIRECT(Hours[[#This Row],[table]]&amp;"[employee]"),C220,INDIRECT(Hours[[#This Row],[table]]&amp;"[date]"),F220,INDIRECT(Hours[[#This Row],[table]]&amp;"[code]"),{"a","x",""})),"")</f>
        <v>0</v>
      </c>
      <c r="M220" s="36">
        <f ca="1">IFERROR(SUMIFS(INDIRECT(Hours[[#This Row],[table]]&amp;"[real time]"),INDIRECT(Hours[[#This Row],[table]]&amp;"[employee]"),C220,INDIRECT(Hours[[#This Row],[table]]&amp;"[date]"),F220,INDIRECT(Hours[[#This Row],[table]]&amp;"[code]"),"m"),"")</f>
        <v>0</v>
      </c>
      <c r="N220" s="36">
        <f ca="1">IFERROR(SUMIFS(INDIRECT(Hours[[#This Row],[table]]&amp;"[real time]"),INDIRECT(Hours[[#This Row],[table]]&amp;"[employee]"),C220,INDIRECT(Hours[[#This Row],[table]]&amp;"[date]"),F220,INDIRECT(Hours[[#This Row],[table]]&amp;"[code]"),"e"),"")</f>
        <v>0</v>
      </c>
    </row>
  </sheetData>
  <conditionalFormatting sqref="K2:N220">
    <cfRule type="cellIs" dxfId="5" priority="13" operator="equal">
      <formula>0</formula>
    </cfRule>
  </conditionalFormatting>
  <conditionalFormatting sqref="K2:N220">
    <cfRule type="containsErrors" dxfId="4" priority="12">
      <formula>ISERROR(K2)</formula>
    </cfRule>
  </conditionalFormatting>
  <conditionalFormatting sqref="K2:K220">
    <cfRule type="expression" dxfId="3" priority="8" stopIfTrue="1">
      <formula>AND($K2-$N2=$J2,$N2&gt;0)</formula>
    </cfRule>
    <cfRule type="expression" dxfId="2" priority="9">
      <formula>AND($K2&lt;&gt;$J2,$K2&lt;&gt;0)</formula>
    </cfRule>
  </conditionalFormatting>
  <conditionalFormatting sqref="J2:J220">
    <cfRule type="cellIs" dxfId="1" priority="7" operator="equal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6"/>
  <sheetViews>
    <sheetView workbookViewId="0">
      <selection activeCell="G22" sqref="G22:K22"/>
    </sheetView>
  </sheetViews>
  <sheetFormatPr defaultRowHeight="15" x14ac:dyDescent="0.25"/>
  <cols>
    <col min="1" max="1" width="10.140625" bestFit="1" customWidth="1"/>
    <col min="2" max="2" width="9.85546875" customWidth="1"/>
    <col min="4" max="4" width="10.140625" hidden="1" customWidth="1"/>
    <col min="7" max="7" width="10.85546875" customWidth="1"/>
    <col min="8" max="8" width="11.140625" customWidth="1"/>
    <col min="9" max="9" width="11.28515625" bestFit="1" customWidth="1"/>
    <col min="10" max="10" width="10.28515625" customWidth="1"/>
    <col min="14" max="14" width="10.7109375" customWidth="1"/>
    <col min="15" max="15" width="11.140625" customWidth="1"/>
  </cols>
  <sheetData>
    <row r="1" spans="1:17" x14ac:dyDescent="0.25">
      <c r="A1" s="1" t="s">
        <v>5</v>
      </c>
      <c r="B1" s="1" t="s">
        <v>29</v>
      </c>
      <c r="C1" s="1" t="s">
        <v>30</v>
      </c>
      <c r="D1" s="26" t="s">
        <v>38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  <c r="N1" s="1" t="s">
        <v>31</v>
      </c>
      <c r="O1" s="1" t="s">
        <v>32</v>
      </c>
      <c r="P1" s="1" t="s">
        <v>33</v>
      </c>
      <c r="Q1" s="1" t="s">
        <v>36</v>
      </c>
    </row>
    <row r="2" spans="1:17" x14ac:dyDescent="0.25">
      <c r="A2" s="26"/>
      <c r="B2" s="26"/>
      <c r="C2" s="26"/>
      <c r="D2" s="27"/>
      <c r="G2" s="1"/>
      <c r="H2" s="1"/>
      <c r="I2" s="1"/>
      <c r="J2" s="32"/>
      <c r="K2" s="33"/>
      <c r="N2" s="1"/>
      <c r="O2" s="1"/>
      <c r="P2" s="1"/>
      <c r="Q2" s="1"/>
    </row>
    <row r="3" spans="1:17" x14ac:dyDescent="0.25">
      <c r="A3" s="30"/>
      <c r="B3" s="30"/>
      <c r="C3" s="30"/>
      <c r="D3" s="31"/>
      <c r="G3" s="1"/>
      <c r="H3" s="1"/>
      <c r="I3" s="1"/>
      <c r="J3" s="32"/>
      <c r="K3" s="33"/>
      <c r="N3" s="1"/>
      <c r="O3" s="1"/>
      <c r="P3" s="1"/>
      <c r="Q3" s="1"/>
    </row>
    <row r="4" spans="1:17" x14ac:dyDescent="0.25">
      <c r="A4" s="30"/>
      <c r="B4" s="30"/>
      <c r="C4" s="30"/>
      <c r="D4" s="31"/>
      <c r="G4" s="1"/>
      <c r="H4" s="1"/>
      <c r="I4" s="1"/>
      <c r="J4" s="32"/>
      <c r="K4" s="33"/>
      <c r="N4" s="1"/>
      <c r="O4" s="1"/>
      <c r="P4" s="1"/>
      <c r="Q4" s="1"/>
    </row>
    <row r="5" spans="1:17" x14ac:dyDescent="0.25">
      <c r="A5" s="30"/>
      <c r="B5" s="30"/>
      <c r="C5" s="30"/>
      <c r="D5" s="31"/>
      <c r="G5" s="1"/>
      <c r="H5" s="1"/>
      <c r="I5" s="1"/>
      <c r="J5" s="32"/>
      <c r="K5" s="33"/>
      <c r="N5" s="1"/>
      <c r="O5" s="1"/>
      <c r="P5" s="1"/>
      <c r="Q5" s="1"/>
    </row>
    <row r="6" spans="1:17" x14ac:dyDescent="0.25">
      <c r="A6" s="30"/>
      <c r="B6" s="30"/>
      <c r="C6" s="30"/>
      <c r="D6" s="31"/>
      <c r="G6" s="1"/>
      <c r="H6" s="1"/>
      <c r="I6" s="1"/>
      <c r="J6" s="32"/>
      <c r="K6" s="33"/>
      <c r="N6" s="1"/>
      <c r="O6" s="1"/>
      <c r="P6" s="1"/>
      <c r="Q6" s="1"/>
    </row>
    <row r="7" spans="1:17" x14ac:dyDescent="0.25">
      <c r="A7" s="30"/>
      <c r="B7" s="30"/>
      <c r="C7" s="30"/>
      <c r="D7" s="31"/>
      <c r="G7" s="1"/>
      <c r="H7" s="1"/>
      <c r="I7" s="1"/>
      <c r="J7" s="32"/>
      <c r="K7" s="33"/>
      <c r="N7" s="1"/>
      <c r="O7" s="1"/>
      <c r="P7" s="1"/>
      <c r="Q7" s="1"/>
    </row>
    <row r="8" spans="1:17" x14ac:dyDescent="0.25">
      <c r="A8" s="30"/>
      <c r="B8" s="30"/>
      <c r="C8" s="30"/>
      <c r="D8" s="31"/>
      <c r="G8" s="1"/>
      <c r="H8" s="1"/>
      <c r="I8" s="1"/>
      <c r="J8" s="32"/>
      <c r="K8" s="33"/>
      <c r="N8" s="1"/>
      <c r="O8" s="1"/>
      <c r="P8" s="1"/>
      <c r="Q8" s="1"/>
    </row>
    <row r="9" spans="1:17" x14ac:dyDescent="0.25">
      <c r="A9" s="30"/>
      <c r="B9" s="30"/>
      <c r="C9" s="30"/>
      <c r="D9" s="31"/>
      <c r="G9" s="1"/>
      <c r="H9" s="1"/>
      <c r="I9" s="1"/>
      <c r="J9" s="32"/>
      <c r="K9" s="33"/>
      <c r="N9" s="1"/>
      <c r="O9" s="1"/>
      <c r="P9" s="1"/>
      <c r="Q9" s="1"/>
    </row>
    <row r="10" spans="1:17" x14ac:dyDescent="0.25">
      <c r="A10" s="30"/>
      <c r="B10" s="30"/>
      <c r="C10" s="30"/>
      <c r="D10" s="31"/>
      <c r="G10" s="1"/>
      <c r="H10" s="1"/>
      <c r="I10" s="1"/>
      <c r="J10" s="32"/>
      <c r="K10" s="33"/>
      <c r="N10" s="1"/>
      <c r="O10" s="1"/>
      <c r="P10" s="1"/>
      <c r="Q10" s="1"/>
    </row>
    <row r="11" spans="1:17" x14ac:dyDescent="0.25">
      <c r="A11" s="30"/>
      <c r="B11" s="30"/>
      <c r="C11" s="30"/>
      <c r="D11" s="31"/>
      <c r="G11" s="1"/>
      <c r="H11" s="1"/>
      <c r="I11" s="1"/>
      <c r="J11" s="32"/>
      <c r="K11" s="33"/>
      <c r="N11" s="1"/>
      <c r="O11" s="1"/>
      <c r="P11" s="1"/>
      <c r="Q11" s="1"/>
    </row>
    <row r="12" spans="1:17" x14ac:dyDescent="0.25">
      <c r="A12" s="30"/>
      <c r="B12" s="30"/>
      <c r="C12" s="30"/>
      <c r="D12" s="31"/>
      <c r="G12" s="1"/>
      <c r="H12" s="1"/>
      <c r="I12" s="1"/>
      <c r="J12" s="32"/>
      <c r="K12" s="33"/>
      <c r="N12" s="1"/>
      <c r="O12" s="1"/>
      <c r="P12" s="1"/>
      <c r="Q12" s="1"/>
    </row>
    <row r="13" spans="1:17" x14ac:dyDescent="0.25">
      <c r="A13" s="30"/>
      <c r="B13" s="30"/>
      <c r="C13" s="30"/>
      <c r="D13" s="31"/>
      <c r="G13" s="1"/>
      <c r="H13" s="1"/>
      <c r="I13" s="1"/>
      <c r="J13" s="32"/>
      <c r="K13" s="33"/>
      <c r="N13" s="1"/>
      <c r="O13" s="1"/>
      <c r="P13" s="1"/>
      <c r="Q13" s="1"/>
    </row>
    <row r="14" spans="1:17" x14ac:dyDescent="0.25">
      <c r="A14" s="30"/>
      <c r="B14" s="30"/>
      <c r="C14" s="30"/>
      <c r="D14" s="31"/>
      <c r="G14" s="1"/>
      <c r="H14" s="1"/>
      <c r="I14" s="1"/>
      <c r="J14" s="32"/>
      <c r="K14" s="33"/>
      <c r="N14" s="1"/>
      <c r="O14" s="1"/>
      <c r="P14" s="1"/>
      <c r="Q14" s="1"/>
    </row>
    <row r="15" spans="1:17" x14ac:dyDescent="0.25">
      <c r="A15" s="30"/>
      <c r="B15" s="30"/>
      <c r="C15" s="30"/>
      <c r="D15" s="31"/>
      <c r="G15" s="1"/>
      <c r="H15" s="1"/>
      <c r="I15" s="1"/>
      <c r="J15" s="32"/>
      <c r="K15" s="33"/>
      <c r="N15" s="1"/>
      <c r="O15" s="1"/>
      <c r="P15" s="1"/>
      <c r="Q15" s="1"/>
    </row>
    <row r="16" spans="1:17" x14ac:dyDescent="0.25">
      <c r="G16" s="1"/>
      <c r="H16" s="1"/>
      <c r="I16" s="1"/>
      <c r="J16" s="32"/>
      <c r="K16" s="33"/>
      <c r="N16" s="1"/>
      <c r="O16" s="1"/>
      <c r="P16" s="1"/>
      <c r="Q16" s="1"/>
    </row>
    <row r="17" spans="7:17" x14ac:dyDescent="0.25">
      <c r="G17" s="1"/>
      <c r="H17" s="1"/>
      <c r="I17" s="1"/>
      <c r="J17" s="32"/>
      <c r="K17" s="33"/>
      <c r="N17" s="1"/>
      <c r="O17" s="1"/>
      <c r="P17" s="1"/>
      <c r="Q17" s="1"/>
    </row>
    <row r="18" spans="7:17" x14ac:dyDescent="0.25">
      <c r="G18" s="1"/>
      <c r="H18" s="1"/>
      <c r="I18" s="1"/>
      <c r="J18" s="32"/>
      <c r="K18" s="33"/>
      <c r="N18" s="1"/>
      <c r="O18" s="1"/>
      <c r="P18" s="1"/>
      <c r="Q18" s="1"/>
    </row>
    <row r="19" spans="7:17" x14ac:dyDescent="0.25">
      <c r="G19" s="1"/>
      <c r="H19" s="1"/>
      <c r="I19" s="1"/>
      <c r="J19" s="32"/>
      <c r="K19" s="33"/>
      <c r="N19" s="1"/>
      <c r="O19" s="1"/>
      <c r="P19" s="1"/>
      <c r="Q19" s="1"/>
    </row>
    <row r="20" spans="7:17" x14ac:dyDescent="0.25">
      <c r="G20" s="1"/>
      <c r="H20" s="1"/>
      <c r="I20" s="1"/>
      <c r="J20" s="32"/>
      <c r="K20" s="33"/>
      <c r="N20" s="1"/>
      <c r="O20" s="1"/>
      <c r="P20" s="1"/>
      <c r="Q20" s="1"/>
    </row>
    <row r="21" spans="7:17" x14ac:dyDescent="0.25">
      <c r="G21" s="1"/>
      <c r="H21" s="1"/>
      <c r="I21" s="1"/>
      <c r="J21" s="32"/>
      <c r="K21" s="33"/>
      <c r="N21" s="1"/>
      <c r="O21" s="1"/>
      <c r="P21" s="1"/>
      <c r="Q21" s="1"/>
    </row>
    <row r="22" spans="7:17" x14ac:dyDescent="0.25">
      <c r="G22" s="1"/>
      <c r="H22" s="1"/>
      <c r="I22" s="1"/>
      <c r="J22" s="32"/>
      <c r="K22" s="33"/>
      <c r="N22" s="1"/>
      <c r="O22" s="1"/>
      <c r="P22" s="1"/>
      <c r="Q22" s="1"/>
    </row>
    <row r="23" spans="7:17" x14ac:dyDescent="0.25">
      <c r="G23" s="1"/>
      <c r="H23" s="1"/>
      <c r="I23" s="1"/>
      <c r="J23" s="32"/>
      <c r="K23" s="33"/>
      <c r="N23" s="1"/>
      <c r="O23" s="1"/>
      <c r="P23" s="1"/>
      <c r="Q23" s="1"/>
    </row>
    <row r="24" spans="7:17" x14ac:dyDescent="0.25">
      <c r="G24" s="1"/>
      <c r="H24" s="1"/>
      <c r="I24" s="1"/>
      <c r="J24" s="32"/>
      <c r="K24" s="33"/>
      <c r="N24" s="1"/>
      <c r="O24" s="1"/>
      <c r="P24" s="1"/>
      <c r="Q24" s="1"/>
    </row>
    <row r="25" spans="7:17" x14ac:dyDescent="0.25">
      <c r="G25" s="1"/>
      <c r="H25" s="1"/>
      <c r="I25" s="1"/>
      <c r="J25" s="32"/>
      <c r="K25" s="33"/>
      <c r="N25" s="1"/>
      <c r="O25" s="1"/>
      <c r="P25" s="1"/>
      <c r="Q25" s="1"/>
    </row>
    <row r="26" spans="7:17" x14ac:dyDescent="0.25">
      <c r="G26" s="1"/>
      <c r="H26" s="1"/>
      <c r="I26" s="1"/>
      <c r="J26" s="32"/>
      <c r="K26" s="33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HOUR TRACKING</vt:lpstr>
      <vt:lpstr>Contractors</vt:lpstr>
      <vt:lpstr>Employees</vt:lpstr>
      <vt:lpstr>Hours</vt:lpstr>
      <vt:lpstr>Details</vt:lpstr>
      <vt:lpstr>emp_lookup</vt:lpstr>
      <vt:lpstr>PP_Start</vt:lpstr>
      <vt:lpstr>wo_lookup</vt:lpstr>
    </vt:vector>
  </TitlesOfParts>
  <Company>First Air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atrahan</dc:creator>
  <cp:lastModifiedBy>Melissa A</cp:lastModifiedBy>
  <dcterms:created xsi:type="dcterms:W3CDTF">2018-10-03T11:24:39Z</dcterms:created>
  <dcterms:modified xsi:type="dcterms:W3CDTF">2024-01-06T03:23:08Z</dcterms:modified>
</cp:coreProperties>
</file>